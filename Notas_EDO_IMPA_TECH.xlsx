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Teste 1" sheetId="1" state="visible" r:id="rId3"/>
    <sheet name="Teste 2" sheetId="2" state="visible" r:id="rId4"/>
    <sheet name="Lista 1" sheetId="3" state="visible" r:id="rId5"/>
    <sheet name="Lista 2" sheetId="4" state="visible" r:id="rId6"/>
    <sheet name="Prova 1" sheetId="5" state="visible" r:id="rId7"/>
    <sheet name="Média" sheetId="6" state="visible" r:id="rId8"/>
    <sheet name="Teste Extra 1" sheetId="7" state="visible" r:id="rId9"/>
    <sheet name="Teste Extra 2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<sst xmlns="http://schemas.openxmlformats.org/spreadsheetml/2006/main" count="807" uniqueCount="113">
  <si>
    <t xml:space="preserve">Nome</t>
  </si>
  <si>
    <t xml:space="preserve">Nota</t>
  </si>
  <si>
    <t xml:space="preserve">                            ALAN DAVID SANTOS</t>
  </si>
  <si>
    <t xml:space="preserve">ALLAN YUKIO FURUHASHI MELO</t>
  </si>
  <si>
    <t xml:space="preserve">AMON CHALEGRE GOMES VANDERLEI</t>
  </si>
  <si>
    <t xml:space="preserve">ANDRÉ FELIPE FURRIEL OLIVEIRA</t>
  </si>
  <si>
    <t xml:space="preserve">ANIZIO SILVA CORREIA JÚNIOR</t>
  </si>
  <si>
    <t xml:space="preserve">ARTHUR BARBOSA PINHEIRO</t>
  </si>
  <si>
    <t xml:space="preserve">CARLOS EDUARDO MACHADO DOS SANTOS</t>
  </si>
  <si>
    <t xml:space="preserve">CARLOS EDUARDO ROCHA DE PAULA</t>
  </si>
  <si>
    <t xml:space="preserve">CRISTIANE MAGARINOS SAMPAIO</t>
  </si>
  <si>
    <t xml:space="preserve">DANIEL RODRIGUES SERQUEIRA</t>
  </si>
  <si>
    <t xml:space="preserve">DANIELA DE MENEZES MORAES</t>
  </si>
  <si>
    <t xml:space="preserve">DAVI BEZERRA LEAL GUIMARÃES</t>
  </si>
  <si>
    <t xml:space="preserve">DAVI PESTANA DE CAMPOS</t>
  </si>
  <si>
    <t xml:space="preserve">DULCE MARIA DE ALMEIDA COSTA</t>
  </si>
  <si>
    <t xml:space="preserve">EMILLY VITÓRIA LEITE REZENDE</t>
  </si>
  <si>
    <t xml:space="preserve">FELIPE BECKER FROHLICH</t>
  </si>
  <si>
    <t xml:space="preserve">FELIPE LERIA DE OLIVEIRA</t>
  </si>
  <si>
    <t xml:space="preserve">FELIPE LIMA DE SOUSA</t>
  </si>
  <si>
    <t xml:space="preserve">FELIPE RIBEIRO MENDONÇA</t>
  </si>
  <si>
    <t xml:space="preserve">GABRIEL COLATUSSO CASTRO DA CRUZ</t>
  </si>
  <si>
    <t xml:space="preserve">GABRIEL FALCÃO MARTINEZ</t>
  </si>
  <si>
    <t xml:space="preserve">GABRIEL KRAUSS DE SANTANA DIAS</t>
  </si>
  <si>
    <t xml:space="preserve">GABRIELA NAOMI ICHICAWA OGIDO</t>
  </si>
  <si>
    <t xml:space="preserve">GUILHERME OSÉIAS PEREIRA DA SILVA</t>
  </si>
  <si>
    <t xml:space="preserve">GUILHERME WILLEMEN PIMENTEL DE CASTRO</t>
  </si>
  <si>
    <t xml:space="preserve">HEITOR ALVES BRAZUNA</t>
  </si>
  <si>
    <t xml:space="preserve">HEITOR RAMOS PEREIRA</t>
  </si>
  <si>
    <t xml:space="preserve">Huann Vicente</t>
  </si>
  <si>
    <t xml:space="preserve">INGRID SILVA CARVALHO</t>
  </si>
  <si>
    <t xml:space="preserve">ITALO RENNAN DE ABREU SOUZA</t>
  </si>
  <si>
    <t xml:space="preserve">JONAS ARAUJO ALVES</t>
  </si>
  <si>
    <t xml:space="preserve">JOSÉ ARMANDO SILVA DUARTE</t>
  </si>
  <si>
    <t xml:space="preserve">JOSÉ RAFAEL FREITAS DE MELO</t>
  </si>
  <si>
    <t xml:space="preserve">JOSIETE MORAIS SANTOS SILVA</t>
  </si>
  <si>
    <t xml:space="preserve">JUAN MARTINS SANTOS</t>
  </si>
  <si>
    <t xml:space="preserve">JULIA QUIUQUI FONSECA</t>
  </si>
  <si>
    <t xml:space="preserve">KAUÃ MATTES REICHERT</t>
  </si>
  <si>
    <t xml:space="preserve">KAYKY LOPES TEIXEIRA MARTINS</t>
  </si>
  <si>
    <t xml:space="preserve">KENZO NAGAMINE</t>
  </si>
  <si>
    <t xml:space="preserve">LISANDRA MENEZES FAGUNDES</t>
  </si>
  <si>
    <t xml:space="preserve">LUANA FAGUNDES DE LIMA</t>
  </si>
  <si>
    <t xml:space="preserve">LUANA MOGNON DA SILVA</t>
  </si>
  <si>
    <t xml:space="preserve">LUCA SEIKI PEREIRA FUJII</t>
  </si>
  <si>
    <t xml:space="preserve">LUCAS CÚRI CORAZZA</t>
  </si>
  <si>
    <t xml:space="preserve">LUCAS DA SILVA OLIVEIRA</t>
  </si>
  <si>
    <t xml:space="preserve">LUCAS FRAGA DAMASCENO</t>
  </si>
  <si>
    <t xml:space="preserve">LUCAS MOURÃO CERQUEIRA E SILVA</t>
  </si>
  <si>
    <t xml:space="preserve">LUCAS RODRIGUES CARACAS CARLOS</t>
  </si>
  <si>
    <t xml:space="preserve">LUCAS VIEIRA SILVA</t>
  </si>
  <si>
    <t xml:space="preserve">LUCCA MOULIN CRUZ</t>
  </si>
  <si>
    <t xml:space="preserve">LUÍSA DE SOUZA QUERIDO COSTA</t>
  </si>
  <si>
    <t xml:space="preserve">MANUELA ABATI BORDEAUX RONCONI</t>
  </si>
  <si>
    <t xml:space="preserve">MARCELLA DECEMBRINO DE SOUZA</t>
  </si>
  <si>
    <t xml:space="preserve">MARCELO AUGUSTO VIEIRA LOPES</t>
  </si>
  <si>
    <t xml:space="preserve">MARCELO MIGUEL ALVES DA SILVA</t>
  </si>
  <si>
    <t xml:space="preserve">MARIA IZABELLE SOUSA DA SILVA</t>
  </si>
  <si>
    <t xml:space="preserve">MARIANA TIEMI YOSHIOKA</t>
  </si>
  <si>
    <t xml:space="preserve">MATEUS ALMEIDA OLIVEIRA</t>
  </si>
  <si>
    <t xml:space="preserve">MATEUS BANDEIRA DE MELLO TORRES</t>
  </si>
  <si>
    <t xml:space="preserve">MATEUS MUNDSTOCK MENDES DE CARVALHO</t>
  </si>
  <si>
    <t xml:space="preserve">MATEUS STACOVIAKI GALVÃO</t>
  </si>
  <si>
    <t xml:space="preserve">MICAELE MAGALHÃES BRANDÃO VERAS</t>
  </si>
  <si>
    <t xml:space="preserve">NATÁLIA BRANDÃO DE SOUSA</t>
  </si>
  <si>
    <t xml:space="preserve">NATAN GABRIEL SPOHR</t>
  </si>
  <si>
    <t xml:space="preserve">NICOLE MARIA FERREIRA FREIRE</t>
  </si>
  <si>
    <t xml:space="preserve">PEDRO PAULO GOMES PAIVA</t>
  </si>
  <si>
    <t xml:space="preserve">RAFAEL AUGUSTO DE ALMEIDA</t>
  </si>
  <si>
    <t xml:space="preserve">RHUAN SOLER DE ALMEIDA</t>
  </si>
  <si>
    <t xml:space="preserve">RYAN CARVALHO PEREIRA DOS SANTOS</t>
  </si>
  <si>
    <t xml:space="preserve">RYAN KEVIN DA COSTA FELINTO</t>
  </si>
  <si>
    <t xml:space="preserve">SAMUEL BEZERRA DE HOLANDA LEITE</t>
  </si>
  <si>
    <t xml:space="preserve">SÉRGIO TEIXEIRA ROSA</t>
  </si>
  <si>
    <t xml:space="preserve">Sofia Cruz Guaranho</t>
  </si>
  <si>
    <t xml:space="preserve">THEO VEIGA DRUMOND AMBRÓSIO</t>
  </si>
  <si>
    <t xml:space="preserve">THIERRY VENTURA MARCOLINO DA SILVA</t>
  </si>
  <si>
    <t xml:space="preserve">TIAGO SÁNCHEZ RIBEIRO</t>
  </si>
  <si>
    <t xml:space="preserve">VINÍCIUS FLESCH KERN</t>
  </si>
  <si>
    <t xml:space="preserve">YASMIN DE BARROS DA SILVA</t>
  </si>
  <si>
    <t xml:space="preserve">Entrega</t>
  </si>
  <si>
    <t xml:space="preserve">Questão (Renato)</t>
  </si>
  <si>
    <t xml:space="preserve">Nota (Renato)</t>
  </si>
  <si>
    <t xml:space="preserve">Questão (Diego)</t>
  </si>
  <si>
    <t xml:space="preserve">Nota (Diego)</t>
  </si>
  <si>
    <t xml:space="preserve">Total</t>
  </si>
  <si>
    <t xml:space="preserve">Quatro</t>
  </si>
  <si>
    <t xml:space="preserve">Oito</t>
  </si>
  <si>
    <t xml:space="preserve">Cinco</t>
  </si>
  <si>
    <t xml:space="preserve">Um</t>
  </si>
  <si>
    <t xml:space="preserve">Três</t>
  </si>
  <si>
    <t xml:space="preserve">Dois</t>
  </si>
  <si>
    <t xml:space="preserve">Três </t>
  </si>
  <si>
    <t xml:space="preserve">Sete</t>
  </si>
  <si>
    <t xml:space="preserve">Questão (Joel)</t>
  </si>
  <si>
    <t xml:space="preserve">Nota (Joel)</t>
  </si>
  <si>
    <t xml:space="preserve">HUANN VICENTE</t>
  </si>
  <si>
    <t xml:space="preserve">MEDIA</t>
  </si>
  <si>
    <t xml:space="preserve">DESVIO PADRÃO </t>
  </si>
  <si>
    <t xml:space="preserve">Teste 1</t>
  </si>
  <si>
    <t xml:space="preserve">Teste 2</t>
  </si>
  <si>
    <t xml:space="preserve">Média Testes</t>
  </si>
  <si>
    <t xml:space="preserve">Entrega Lista 1</t>
  </si>
  <si>
    <t xml:space="preserve">Entrega Lista 2</t>
  </si>
  <si>
    <t xml:space="preserve">Média Entrega Normalizado</t>
  </si>
  <si>
    <t xml:space="preserve">Lista 1</t>
  </si>
  <si>
    <t xml:space="preserve">Lista 2</t>
  </si>
  <si>
    <t xml:space="preserve">Média Listas</t>
  </si>
  <si>
    <t xml:space="preserve">Prova 1</t>
  </si>
  <si>
    <t xml:space="preserve">AV1</t>
  </si>
  <si>
    <t xml:space="preserve">OBS: +0.7 na AV2 (se nota(AV2) &gt; 9.7, nota final = 10) </t>
  </si>
  <si>
    <t xml:space="preserve">OBS: +0.7 na AV2</t>
  </si>
  <si>
    <t xml:space="preserve">OBS: +0.5 na AV2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</si>
</sst>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1F1F1F"/>
      <name val="&quot;Google Sans&quot;"/>
      <family val="0"/>
      <charset val="1"/>
    </font>
    <font>
      <sz val="11"/>
      <color rgb="FF1F1F1F"/>
      <name val="Google Sans"/>
      <family val="0"/>
      <charset val="1"/>
    </font>
    <font>
      <sz val="11"/>
      <color rgb="FFC9211E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F10D0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0F4F9"/>
        <bgColor rgb="FFFFFFFF"/>
      </patternFill>
    </fill>
    <fill>
      <patternFill patternType="solid">
        <fgColor rgb="FFC27BA0"/>
        <bgColor rgb="FFFF8080"/>
      </patternFill>
    </fill>
    <fill>
      <patternFill patternType="solid">
        <fgColor rgb="FFFFFFFF"/>
        <bgColor rgb="FFF0F4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27BA0"/>
      <rgbColor rgb="FF003366"/>
      <rgbColor rgb="FF339966"/>
      <rgbColor rgb="FF003300"/>
      <rgbColor rgb="FF333300"/>
      <rgbColor rgb="FFC9211E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25" colorId="64" zoomScale="114" zoomScaleNormal="114" zoomScalePageLayoutView="100" workbookViewId="0">
      <selection pane="topLeft" activeCell="B1" activeCellId="0" sqref="B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8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/>
    </row>
    <row r="2" customFormat="false" ht="15.75" hidden="false" customHeight="false" outlineLevel="0" collapsed="false">
      <c r="A2" s="3" t="s">
        <v>2</v>
      </c>
      <c r="B2" s="4"/>
    </row>
    <row r="3" customFormat="false" ht="15.75" hidden="false" customHeight="false" outlineLevel="0" collapsed="false">
      <c r="A3" s="5" t="s">
        <v>3</v>
      </c>
      <c r="B3" s="2" t="n">
        <v>10</v>
      </c>
    </row>
    <row r="4" customFormat="false" ht="15.75" hidden="false" customHeight="false" outlineLevel="0" collapsed="false">
      <c r="A4" s="5" t="s">
        <v>4</v>
      </c>
      <c r="B4" s="4"/>
    </row>
    <row r="5" customFormat="false" ht="15.75" hidden="false" customHeight="false" outlineLevel="0" collapsed="false">
      <c r="A5" s="5" t="s">
        <v>5</v>
      </c>
      <c r="B5" s="2" t="n">
        <v>1</v>
      </c>
    </row>
    <row r="6" customFormat="false" ht="15.75" hidden="false" customHeight="false" outlineLevel="0" collapsed="false">
      <c r="A6" s="5" t="s">
        <v>6</v>
      </c>
      <c r="B6" s="2" t="n">
        <v>9</v>
      </c>
    </row>
    <row r="7" customFormat="false" ht="15.75" hidden="false" customHeight="false" outlineLevel="0" collapsed="false">
      <c r="A7" s="5" t="s">
        <v>7</v>
      </c>
      <c r="B7" s="2" t="n">
        <v>1</v>
      </c>
    </row>
    <row r="8" customFormat="false" ht="15.75" hidden="false" customHeight="false" outlineLevel="0" collapsed="false">
      <c r="A8" s="5" t="s">
        <v>8</v>
      </c>
      <c r="B8" s="2" t="n">
        <v>6.5</v>
      </c>
    </row>
    <row r="9" customFormat="false" ht="15.75" hidden="false" customHeight="false" outlineLevel="0" collapsed="false">
      <c r="A9" s="5" t="s">
        <v>9</v>
      </c>
      <c r="B9" s="2" t="n">
        <v>10</v>
      </c>
    </row>
    <row r="10" customFormat="false" ht="15.75" hidden="false" customHeight="false" outlineLevel="0" collapsed="false">
      <c r="A10" s="5" t="s">
        <v>10</v>
      </c>
      <c r="B10" s="2" t="n">
        <v>10</v>
      </c>
    </row>
    <row r="11" customFormat="false" ht="15.75" hidden="false" customHeight="false" outlineLevel="0" collapsed="false">
      <c r="A11" s="5" t="s">
        <v>11</v>
      </c>
      <c r="B11" s="2" t="n">
        <v>9.5</v>
      </c>
    </row>
    <row r="12" customFormat="false" ht="15.75" hidden="false" customHeight="false" outlineLevel="0" collapsed="false">
      <c r="A12" s="5" t="s">
        <v>12</v>
      </c>
      <c r="B12" s="2" t="n">
        <v>10</v>
      </c>
    </row>
    <row r="13" customFormat="false" ht="15.75" hidden="false" customHeight="false" outlineLevel="0" collapsed="false">
      <c r="A13" s="5" t="s">
        <v>13</v>
      </c>
      <c r="B13" s="2" t="n">
        <v>10</v>
      </c>
    </row>
    <row r="14" customFormat="false" ht="15.75" hidden="false" customHeight="false" outlineLevel="0" collapsed="false">
      <c r="A14" s="5" t="s">
        <v>14</v>
      </c>
      <c r="B14" s="4"/>
    </row>
    <row r="15" customFormat="false" ht="15.75" hidden="false" customHeight="false" outlineLevel="0" collapsed="false">
      <c r="A15" s="5" t="s">
        <v>15</v>
      </c>
      <c r="B15" s="2" t="n">
        <v>10</v>
      </c>
    </row>
    <row r="16" customFormat="false" ht="15.75" hidden="false" customHeight="false" outlineLevel="0" collapsed="false">
      <c r="A16" s="5" t="s">
        <v>16</v>
      </c>
      <c r="B16" s="2" t="n">
        <v>10</v>
      </c>
    </row>
    <row r="17" customFormat="false" ht="15.75" hidden="false" customHeight="false" outlineLevel="0" collapsed="false">
      <c r="A17" s="5" t="s">
        <v>17</v>
      </c>
      <c r="B17" s="2" t="n">
        <v>10</v>
      </c>
    </row>
    <row r="18" customFormat="false" ht="15.75" hidden="false" customHeight="false" outlineLevel="0" collapsed="false">
      <c r="A18" s="5" t="s">
        <v>18</v>
      </c>
      <c r="B18" s="2" t="n">
        <v>10</v>
      </c>
    </row>
    <row r="19" customFormat="false" ht="15.75" hidden="false" customHeight="false" outlineLevel="0" collapsed="false">
      <c r="A19" s="5" t="s">
        <v>19</v>
      </c>
      <c r="B19" s="2" t="n">
        <v>10</v>
      </c>
    </row>
    <row r="20" customFormat="false" ht="15.75" hidden="false" customHeight="false" outlineLevel="0" collapsed="false">
      <c r="A20" s="5" t="s">
        <v>20</v>
      </c>
      <c r="B20" s="2" t="n">
        <v>10</v>
      </c>
    </row>
    <row r="21" customFormat="false" ht="15.75" hidden="false" customHeight="false" outlineLevel="0" collapsed="false">
      <c r="A21" s="5" t="s">
        <v>21</v>
      </c>
      <c r="B21" s="2" t="n">
        <v>10</v>
      </c>
    </row>
    <row r="22" customFormat="false" ht="15.75" hidden="false" customHeight="false" outlineLevel="0" collapsed="false">
      <c r="A22" s="5" t="s">
        <v>22</v>
      </c>
      <c r="B22" s="2" t="n">
        <v>10</v>
      </c>
    </row>
    <row r="23" customFormat="false" ht="15.75" hidden="false" customHeight="false" outlineLevel="0" collapsed="false">
      <c r="A23" s="5" t="s">
        <v>23</v>
      </c>
      <c r="B23" s="2" t="n">
        <v>10</v>
      </c>
    </row>
    <row r="24" customFormat="false" ht="15.75" hidden="false" customHeight="false" outlineLevel="0" collapsed="false">
      <c r="A24" s="5" t="s">
        <v>24</v>
      </c>
      <c r="B24" s="2" t="n">
        <v>10</v>
      </c>
    </row>
    <row r="25" customFormat="false" ht="15.75" hidden="false" customHeight="false" outlineLevel="0" collapsed="false">
      <c r="A25" s="5" t="s">
        <v>25</v>
      </c>
      <c r="B25" s="2" t="n">
        <v>0</v>
      </c>
    </row>
    <row r="26" customFormat="false" ht="15.75" hidden="false" customHeight="false" outlineLevel="0" collapsed="false">
      <c r="A26" s="5" t="s">
        <v>26</v>
      </c>
      <c r="B26" s="4"/>
    </row>
    <row r="27" customFormat="false" ht="15.75" hidden="false" customHeight="false" outlineLevel="0" collapsed="false">
      <c r="A27" s="5" t="s">
        <v>27</v>
      </c>
      <c r="B27" s="2" t="n">
        <v>10</v>
      </c>
    </row>
    <row r="28" customFormat="false" ht="15.75" hidden="false" customHeight="false" outlineLevel="0" collapsed="false">
      <c r="A28" s="5" t="s">
        <v>28</v>
      </c>
      <c r="B28" s="2" t="n">
        <v>10</v>
      </c>
    </row>
    <row r="29" customFormat="false" ht="15.75" hidden="false" customHeight="false" outlineLevel="0" collapsed="false">
      <c r="A29" s="5" t="s">
        <v>29</v>
      </c>
      <c r="B29" s="2" t="n">
        <v>9</v>
      </c>
    </row>
    <row r="30" customFormat="false" ht="15.75" hidden="false" customHeight="false" outlineLevel="0" collapsed="false">
      <c r="A30" s="5" t="s">
        <v>30</v>
      </c>
      <c r="B30" s="2" t="n">
        <v>10</v>
      </c>
    </row>
    <row r="31" customFormat="false" ht="15.75" hidden="false" customHeight="false" outlineLevel="0" collapsed="false">
      <c r="A31" s="5" t="s">
        <v>31</v>
      </c>
      <c r="B31" s="2" t="n">
        <v>10</v>
      </c>
    </row>
    <row r="32" customFormat="false" ht="15.75" hidden="false" customHeight="false" outlineLevel="0" collapsed="false">
      <c r="A32" s="5" t="s">
        <v>32</v>
      </c>
      <c r="B32" s="2" t="n">
        <v>10</v>
      </c>
    </row>
    <row r="33" customFormat="false" ht="15.75" hidden="false" customHeight="false" outlineLevel="0" collapsed="false">
      <c r="A33" s="5" t="s">
        <v>33</v>
      </c>
      <c r="B33" s="2" t="n">
        <v>10</v>
      </c>
    </row>
    <row r="34" customFormat="false" ht="15.75" hidden="false" customHeight="false" outlineLevel="0" collapsed="false">
      <c r="A34" s="5" t="s">
        <v>34</v>
      </c>
      <c r="B34" s="2" t="n">
        <v>10</v>
      </c>
    </row>
    <row r="35" customFormat="false" ht="15.75" hidden="false" customHeight="false" outlineLevel="0" collapsed="false">
      <c r="A35" s="5" t="s">
        <v>35</v>
      </c>
      <c r="B35" s="4"/>
    </row>
    <row r="36" customFormat="false" ht="15.75" hidden="false" customHeight="false" outlineLevel="0" collapsed="false">
      <c r="A36" s="5" t="s">
        <v>36</v>
      </c>
      <c r="B36" s="2" t="n">
        <v>10</v>
      </c>
    </row>
    <row r="37" customFormat="false" ht="15.75" hidden="false" customHeight="false" outlineLevel="0" collapsed="false">
      <c r="A37" s="5" t="s">
        <v>37</v>
      </c>
      <c r="B37" s="2" t="n">
        <v>8</v>
      </c>
    </row>
    <row r="38" customFormat="false" ht="15.75" hidden="false" customHeight="false" outlineLevel="0" collapsed="false">
      <c r="A38" s="5" t="s">
        <v>38</v>
      </c>
      <c r="B38" s="2" t="n">
        <v>10</v>
      </c>
    </row>
    <row r="39" customFormat="false" ht="15.75" hidden="false" customHeight="false" outlineLevel="0" collapsed="false">
      <c r="A39" s="5" t="s">
        <v>39</v>
      </c>
      <c r="B39" s="2" t="n">
        <v>10</v>
      </c>
    </row>
    <row r="40" customFormat="false" ht="15.75" hidden="false" customHeight="false" outlineLevel="0" collapsed="false">
      <c r="A40" s="5" t="s">
        <v>40</v>
      </c>
      <c r="B40" s="2" t="n">
        <v>10</v>
      </c>
    </row>
    <row r="41" customFormat="false" ht="15.75" hidden="false" customHeight="false" outlineLevel="0" collapsed="false">
      <c r="A41" s="5" t="s">
        <v>41</v>
      </c>
      <c r="B41" s="2" t="n">
        <v>10</v>
      </c>
    </row>
    <row r="42" customFormat="false" ht="15.75" hidden="false" customHeight="false" outlineLevel="0" collapsed="false">
      <c r="A42" s="5" t="s">
        <v>42</v>
      </c>
      <c r="B42" s="2" t="n">
        <v>8</v>
      </c>
    </row>
    <row r="43" customFormat="false" ht="15.75" hidden="false" customHeight="false" outlineLevel="0" collapsed="false">
      <c r="A43" s="5" t="s">
        <v>43</v>
      </c>
      <c r="B43" s="2" t="n">
        <v>10</v>
      </c>
    </row>
    <row r="44" customFormat="false" ht="15.75" hidden="false" customHeight="false" outlineLevel="0" collapsed="false">
      <c r="A44" s="5" t="s">
        <v>44</v>
      </c>
      <c r="B44" s="2" t="n">
        <v>10</v>
      </c>
    </row>
    <row r="45" customFormat="false" ht="15.75" hidden="false" customHeight="false" outlineLevel="0" collapsed="false">
      <c r="A45" s="5" t="s">
        <v>45</v>
      </c>
      <c r="B45" s="2" t="n">
        <v>9.5</v>
      </c>
    </row>
    <row r="46" customFormat="false" ht="15.75" hidden="false" customHeight="false" outlineLevel="0" collapsed="false">
      <c r="A46" s="5" t="s">
        <v>46</v>
      </c>
      <c r="B46" s="2" t="n">
        <v>10</v>
      </c>
    </row>
    <row r="47" customFormat="false" ht="15.75" hidden="false" customHeight="false" outlineLevel="0" collapsed="false">
      <c r="A47" s="5" t="s">
        <v>47</v>
      </c>
      <c r="B47" s="4"/>
    </row>
    <row r="48" customFormat="false" ht="15.75" hidden="false" customHeight="false" outlineLevel="0" collapsed="false">
      <c r="A48" s="5" t="s">
        <v>48</v>
      </c>
      <c r="B48" s="2" t="n">
        <v>10</v>
      </c>
    </row>
    <row r="49" customFormat="false" ht="15.75" hidden="false" customHeight="false" outlineLevel="0" collapsed="false">
      <c r="A49" s="5" t="s">
        <v>49</v>
      </c>
      <c r="B49" s="2" t="n">
        <v>7</v>
      </c>
    </row>
    <row r="50" customFormat="false" ht="15.75" hidden="false" customHeight="false" outlineLevel="0" collapsed="false">
      <c r="A50" s="5" t="s">
        <v>50</v>
      </c>
      <c r="B50" s="2" t="n">
        <v>9</v>
      </c>
    </row>
    <row r="51" customFormat="false" ht="15.75" hidden="false" customHeight="false" outlineLevel="0" collapsed="false">
      <c r="A51" s="5" t="s">
        <v>51</v>
      </c>
      <c r="B51" s="2" t="n">
        <v>6.5</v>
      </c>
    </row>
    <row r="52" customFormat="false" ht="15.75" hidden="false" customHeight="false" outlineLevel="0" collapsed="false">
      <c r="A52" s="5" t="s">
        <v>52</v>
      </c>
      <c r="B52" s="2" t="n">
        <v>8</v>
      </c>
    </row>
    <row r="53" customFormat="false" ht="15.75" hidden="false" customHeight="false" outlineLevel="0" collapsed="false">
      <c r="A53" s="5" t="s">
        <v>53</v>
      </c>
      <c r="B53" s="2" t="n">
        <v>10</v>
      </c>
    </row>
    <row r="54" customFormat="false" ht="15.75" hidden="false" customHeight="false" outlineLevel="0" collapsed="false">
      <c r="A54" s="5" t="s">
        <v>54</v>
      </c>
      <c r="B54" s="4"/>
    </row>
    <row r="55" customFormat="false" ht="15.75" hidden="false" customHeight="false" outlineLevel="0" collapsed="false">
      <c r="A55" s="5" t="s">
        <v>55</v>
      </c>
      <c r="B55" s="2" t="n">
        <v>10</v>
      </c>
    </row>
    <row r="56" customFormat="false" ht="15.75" hidden="false" customHeight="false" outlineLevel="0" collapsed="false">
      <c r="A56" s="5" t="s">
        <v>56</v>
      </c>
      <c r="B56" s="2" t="n">
        <v>10</v>
      </c>
    </row>
    <row r="57" customFormat="false" ht="15.75" hidden="false" customHeight="false" outlineLevel="0" collapsed="false">
      <c r="A57" s="5" t="s">
        <v>57</v>
      </c>
      <c r="B57" s="2" t="n">
        <v>10</v>
      </c>
    </row>
    <row r="58" customFormat="false" ht="15.75" hidden="false" customHeight="false" outlineLevel="0" collapsed="false">
      <c r="A58" s="5" t="s">
        <v>58</v>
      </c>
      <c r="B58" s="2" t="n">
        <v>9</v>
      </c>
    </row>
    <row r="59" customFormat="false" ht="15.75" hidden="false" customHeight="false" outlineLevel="0" collapsed="false">
      <c r="A59" s="5" t="s">
        <v>59</v>
      </c>
      <c r="B59" s="2" t="n">
        <v>10</v>
      </c>
    </row>
    <row r="60" customFormat="false" ht="15.75" hidden="false" customHeight="false" outlineLevel="0" collapsed="false">
      <c r="A60" s="5" t="s">
        <v>60</v>
      </c>
      <c r="B60" s="2" t="n">
        <v>10</v>
      </c>
    </row>
    <row r="61" customFormat="false" ht="15.75" hidden="false" customHeight="false" outlineLevel="0" collapsed="false">
      <c r="A61" s="5" t="s">
        <v>61</v>
      </c>
      <c r="B61" s="2" t="n">
        <v>10</v>
      </c>
    </row>
    <row r="62" customFormat="false" ht="15.75" hidden="false" customHeight="false" outlineLevel="0" collapsed="false">
      <c r="A62" s="5" t="s">
        <v>62</v>
      </c>
      <c r="B62" s="2" t="n">
        <v>10</v>
      </c>
    </row>
    <row r="63" customFormat="false" ht="15.75" hidden="false" customHeight="false" outlineLevel="0" collapsed="false">
      <c r="A63" s="5" t="s">
        <v>63</v>
      </c>
      <c r="B63" s="2" t="n">
        <v>10</v>
      </c>
    </row>
    <row r="64" customFormat="false" ht="15.75" hidden="false" customHeight="false" outlineLevel="0" collapsed="false">
      <c r="A64" s="5" t="s">
        <v>64</v>
      </c>
      <c r="B64" s="4"/>
    </row>
    <row r="65" customFormat="false" ht="15.75" hidden="false" customHeight="false" outlineLevel="0" collapsed="false">
      <c r="A65" s="5" t="s">
        <v>65</v>
      </c>
      <c r="B65" s="2" t="n">
        <v>10</v>
      </c>
    </row>
    <row r="66" customFormat="false" ht="15.75" hidden="false" customHeight="false" outlineLevel="0" collapsed="false">
      <c r="A66" s="5" t="s">
        <v>66</v>
      </c>
      <c r="B66" s="2" t="n">
        <v>10</v>
      </c>
    </row>
    <row r="67" customFormat="false" ht="15.75" hidden="false" customHeight="false" outlineLevel="0" collapsed="false">
      <c r="A67" s="5" t="s">
        <v>67</v>
      </c>
      <c r="B67" s="2" t="n">
        <v>10</v>
      </c>
    </row>
    <row r="68" customFormat="false" ht="15.75" hidden="false" customHeight="false" outlineLevel="0" collapsed="false">
      <c r="A68" s="5" t="s">
        <v>68</v>
      </c>
      <c r="B68" s="2" t="n">
        <v>10</v>
      </c>
    </row>
    <row r="69" customFormat="false" ht="15.75" hidden="false" customHeight="false" outlineLevel="0" collapsed="false">
      <c r="A69" s="5" t="s">
        <v>69</v>
      </c>
      <c r="B69" s="4"/>
    </row>
    <row r="70" customFormat="false" ht="15.75" hidden="false" customHeight="false" outlineLevel="0" collapsed="false">
      <c r="A70" s="5" t="s">
        <v>70</v>
      </c>
      <c r="B70" s="2" t="n">
        <v>10</v>
      </c>
    </row>
    <row r="71" customFormat="false" ht="15.75" hidden="false" customHeight="false" outlineLevel="0" collapsed="false">
      <c r="A71" s="5" t="s">
        <v>71</v>
      </c>
      <c r="B71" s="2" t="n">
        <v>0</v>
      </c>
    </row>
    <row r="72" customFormat="false" ht="15.75" hidden="false" customHeight="false" outlineLevel="0" collapsed="false">
      <c r="A72" s="5" t="s">
        <v>72</v>
      </c>
      <c r="B72" s="2" t="n">
        <v>7</v>
      </c>
    </row>
    <row r="73" customFormat="false" ht="15.75" hidden="false" customHeight="false" outlineLevel="0" collapsed="false">
      <c r="A73" s="5" t="s">
        <v>73</v>
      </c>
      <c r="B73" s="2" t="n">
        <v>10</v>
      </c>
    </row>
    <row r="74" customFormat="false" ht="15.75" hidden="false" customHeight="false" outlineLevel="0" collapsed="false">
      <c r="A74" s="5" t="s">
        <v>74</v>
      </c>
      <c r="B74" s="2" t="n">
        <v>8</v>
      </c>
    </row>
    <row r="75" customFormat="false" ht="15.75" hidden="false" customHeight="false" outlineLevel="0" collapsed="false">
      <c r="A75" s="5" t="s">
        <v>75</v>
      </c>
      <c r="B75" s="2" t="n">
        <v>10</v>
      </c>
    </row>
    <row r="76" customFormat="false" ht="15.75" hidden="false" customHeight="false" outlineLevel="0" collapsed="false">
      <c r="A76" s="5" t="s">
        <v>76</v>
      </c>
      <c r="B76" s="2" t="n">
        <v>8</v>
      </c>
    </row>
    <row r="77" customFormat="false" ht="15.75" hidden="false" customHeight="false" outlineLevel="0" collapsed="false">
      <c r="A77" s="5" t="s">
        <v>77</v>
      </c>
      <c r="B77" s="2" t="n">
        <v>10</v>
      </c>
    </row>
    <row r="78" customFormat="false" ht="15.75" hidden="false" customHeight="false" outlineLevel="0" collapsed="false">
      <c r="A78" s="5" t="s">
        <v>78</v>
      </c>
      <c r="B78" s="2" t="n">
        <v>8</v>
      </c>
    </row>
    <row r="79" customFormat="false" ht="15.75" hidden="false" customHeight="false" outlineLevel="0" collapsed="false">
      <c r="A79" s="5" t="s">
        <v>79</v>
      </c>
      <c r="B79" s="2" t="n">
        <v>8.5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24" colorId="64" zoomScale="114" zoomScaleNormal="114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8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/>
    </row>
    <row r="2" customFormat="false" ht="15.75" hidden="false" customHeight="false" outlineLevel="0" collapsed="false">
      <c r="A2" s="3" t="s">
        <v>2</v>
      </c>
      <c r="B2" s="4"/>
    </row>
    <row r="3" customFormat="false" ht="15.75" hidden="false" customHeight="false" outlineLevel="0" collapsed="false">
      <c r="A3" s="5" t="s">
        <v>3</v>
      </c>
      <c r="B3" s="2" t="n">
        <v>10</v>
      </c>
    </row>
    <row r="4" customFormat="false" ht="15.75" hidden="false" customHeight="false" outlineLevel="0" collapsed="false">
      <c r="A4" s="5" t="s">
        <v>4</v>
      </c>
      <c r="B4" s="4"/>
    </row>
    <row r="5" customFormat="false" ht="15.75" hidden="false" customHeight="false" outlineLevel="0" collapsed="false">
      <c r="A5" s="5" t="s">
        <v>5</v>
      </c>
      <c r="B5" s="2" t="n">
        <v>7.5</v>
      </c>
    </row>
    <row r="6" customFormat="false" ht="15.75" hidden="false" customHeight="false" outlineLevel="0" collapsed="false">
      <c r="A6" s="5" t="s">
        <v>6</v>
      </c>
      <c r="B6" s="2" t="n">
        <v>9</v>
      </c>
    </row>
    <row r="7" customFormat="false" ht="15.75" hidden="false" customHeight="false" outlineLevel="0" collapsed="false">
      <c r="A7" s="5" t="s">
        <v>7</v>
      </c>
      <c r="B7" s="2" t="n">
        <v>9</v>
      </c>
    </row>
    <row r="8" customFormat="false" ht="15.75" hidden="false" customHeight="false" outlineLevel="0" collapsed="false">
      <c r="A8" s="5" t="s">
        <v>8</v>
      </c>
      <c r="B8" s="2" t="n">
        <v>9</v>
      </c>
    </row>
    <row r="9" customFormat="false" ht="15.75" hidden="false" customHeight="false" outlineLevel="0" collapsed="false">
      <c r="A9" s="5" t="s">
        <v>9</v>
      </c>
      <c r="B9" s="2" t="n">
        <v>10</v>
      </c>
    </row>
    <row r="10" customFormat="false" ht="15.75" hidden="false" customHeight="false" outlineLevel="0" collapsed="false">
      <c r="A10" s="5" t="s">
        <v>10</v>
      </c>
      <c r="B10" s="2" t="n">
        <v>10</v>
      </c>
    </row>
    <row r="11" customFormat="false" ht="15.75" hidden="false" customHeight="false" outlineLevel="0" collapsed="false">
      <c r="A11" s="5" t="s">
        <v>11</v>
      </c>
      <c r="B11" s="2" t="n">
        <v>10</v>
      </c>
    </row>
    <row r="12" customFormat="false" ht="15.75" hidden="false" customHeight="false" outlineLevel="0" collapsed="false">
      <c r="A12" s="5" t="s">
        <v>12</v>
      </c>
      <c r="B12" s="2" t="n">
        <v>9.5</v>
      </c>
    </row>
    <row r="13" customFormat="false" ht="15.75" hidden="false" customHeight="false" outlineLevel="0" collapsed="false">
      <c r="A13" s="5" t="s">
        <v>13</v>
      </c>
      <c r="B13" s="2" t="n">
        <v>10</v>
      </c>
    </row>
    <row r="14" customFormat="false" ht="15.75" hidden="false" customHeight="false" outlineLevel="0" collapsed="false">
      <c r="A14" s="5" t="s">
        <v>14</v>
      </c>
      <c r="B14" s="4"/>
    </row>
    <row r="15" customFormat="false" ht="15.75" hidden="false" customHeight="false" outlineLevel="0" collapsed="false">
      <c r="A15" s="5" t="s">
        <v>15</v>
      </c>
      <c r="B15" s="2" t="n">
        <v>10</v>
      </c>
    </row>
    <row r="16" customFormat="false" ht="15.75" hidden="false" customHeight="false" outlineLevel="0" collapsed="false">
      <c r="A16" s="5" t="s">
        <v>16</v>
      </c>
      <c r="B16" s="2" t="n">
        <v>10</v>
      </c>
    </row>
    <row r="17" customFormat="false" ht="15.75" hidden="false" customHeight="false" outlineLevel="0" collapsed="false">
      <c r="A17" s="5" t="s">
        <v>17</v>
      </c>
      <c r="B17" s="2" t="n">
        <v>9</v>
      </c>
    </row>
    <row r="18" customFormat="false" ht="15.75" hidden="false" customHeight="false" outlineLevel="0" collapsed="false">
      <c r="A18" s="5" t="s">
        <v>18</v>
      </c>
      <c r="B18" s="2" t="n">
        <v>10</v>
      </c>
    </row>
    <row r="19" customFormat="false" ht="15.75" hidden="false" customHeight="false" outlineLevel="0" collapsed="false">
      <c r="A19" s="5" t="s">
        <v>19</v>
      </c>
      <c r="B19" s="2" t="n">
        <v>7.5</v>
      </c>
    </row>
    <row r="20" customFormat="false" ht="15.75" hidden="false" customHeight="false" outlineLevel="0" collapsed="false">
      <c r="A20" s="5" t="s">
        <v>20</v>
      </c>
      <c r="B20" s="2" t="n">
        <v>9</v>
      </c>
    </row>
    <row r="21" customFormat="false" ht="15.75" hidden="false" customHeight="false" outlineLevel="0" collapsed="false">
      <c r="A21" s="5" t="s">
        <v>21</v>
      </c>
      <c r="B21" s="2" t="n">
        <v>10</v>
      </c>
    </row>
    <row r="22" customFormat="false" ht="15.75" hidden="false" customHeight="false" outlineLevel="0" collapsed="false">
      <c r="A22" s="5" t="s">
        <v>22</v>
      </c>
      <c r="B22" s="2" t="n">
        <v>10</v>
      </c>
    </row>
    <row r="23" customFormat="false" ht="15.75" hidden="false" customHeight="false" outlineLevel="0" collapsed="false">
      <c r="A23" s="5" t="s">
        <v>23</v>
      </c>
      <c r="B23" s="2" t="n">
        <v>10</v>
      </c>
    </row>
    <row r="24" customFormat="false" ht="15.75" hidden="false" customHeight="false" outlineLevel="0" collapsed="false">
      <c r="A24" s="5" t="s">
        <v>24</v>
      </c>
      <c r="B24" s="2" t="n">
        <v>9</v>
      </c>
    </row>
    <row r="25" customFormat="false" ht="15.75" hidden="false" customHeight="false" outlineLevel="0" collapsed="false">
      <c r="A25" s="5" t="s">
        <v>25</v>
      </c>
      <c r="B25" s="2" t="n">
        <v>10</v>
      </c>
    </row>
    <row r="26" customFormat="false" ht="15.75" hidden="false" customHeight="false" outlineLevel="0" collapsed="false">
      <c r="A26" s="5" t="s">
        <v>26</v>
      </c>
      <c r="B26" s="4"/>
    </row>
    <row r="27" customFormat="false" ht="15.75" hidden="false" customHeight="false" outlineLevel="0" collapsed="false">
      <c r="A27" s="5" t="s">
        <v>27</v>
      </c>
      <c r="B27" s="2" t="n">
        <v>10</v>
      </c>
    </row>
    <row r="28" customFormat="false" ht="15.75" hidden="false" customHeight="false" outlineLevel="0" collapsed="false">
      <c r="A28" s="5" t="s">
        <v>28</v>
      </c>
      <c r="B28" s="2" t="n">
        <v>10</v>
      </c>
    </row>
    <row r="29" customFormat="false" ht="15.75" hidden="false" customHeight="false" outlineLevel="0" collapsed="false">
      <c r="A29" s="5" t="s">
        <v>29</v>
      </c>
      <c r="B29" s="2" t="n">
        <v>9</v>
      </c>
    </row>
    <row r="30" customFormat="false" ht="15.75" hidden="false" customHeight="false" outlineLevel="0" collapsed="false">
      <c r="A30" s="5" t="s">
        <v>30</v>
      </c>
      <c r="B30" s="2" t="n">
        <v>10</v>
      </c>
    </row>
    <row r="31" customFormat="false" ht="15.75" hidden="false" customHeight="false" outlineLevel="0" collapsed="false">
      <c r="A31" s="5" t="s">
        <v>31</v>
      </c>
      <c r="B31" s="2" t="n">
        <v>10</v>
      </c>
    </row>
    <row r="32" customFormat="false" ht="15.75" hidden="false" customHeight="false" outlineLevel="0" collapsed="false">
      <c r="A32" s="5" t="s">
        <v>32</v>
      </c>
      <c r="B32" s="2" t="n">
        <v>8</v>
      </c>
    </row>
    <row r="33" customFormat="false" ht="15.75" hidden="false" customHeight="false" outlineLevel="0" collapsed="false">
      <c r="A33" s="5" t="s">
        <v>33</v>
      </c>
      <c r="B33" s="2" t="n">
        <v>9.5</v>
      </c>
    </row>
    <row r="34" customFormat="false" ht="15.75" hidden="false" customHeight="false" outlineLevel="0" collapsed="false">
      <c r="A34" s="5" t="s">
        <v>34</v>
      </c>
      <c r="B34" s="2" t="n">
        <v>9</v>
      </c>
    </row>
    <row r="35" customFormat="false" ht="15.75" hidden="false" customHeight="false" outlineLevel="0" collapsed="false">
      <c r="A35" s="5" t="s">
        <v>35</v>
      </c>
      <c r="B35" s="4"/>
    </row>
    <row r="36" customFormat="false" ht="15.75" hidden="false" customHeight="false" outlineLevel="0" collapsed="false">
      <c r="A36" s="5" t="s">
        <v>36</v>
      </c>
      <c r="B36" s="2" t="n">
        <v>10</v>
      </c>
    </row>
    <row r="37" customFormat="false" ht="15.75" hidden="false" customHeight="false" outlineLevel="0" collapsed="false">
      <c r="A37" s="5" t="s">
        <v>37</v>
      </c>
      <c r="B37" s="2" t="n">
        <v>10</v>
      </c>
    </row>
    <row r="38" customFormat="false" ht="15.75" hidden="false" customHeight="false" outlineLevel="0" collapsed="false">
      <c r="A38" s="5" t="s">
        <v>38</v>
      </c>
      <c r="B38" s="2" t="n">
        <v>10</v>
      </c>
    </row>
    <row r="39" customFormat="false" ht="15.75" hidden="false" customHeight="false" outlineLevel="0" collapsed="false">
      <c r="A39" s="5" t="s">
        <v>39</v>
      </c>
      <c r="B39" s="2" t="n">
        <v>10</v>
      </c>
    </row>
    <row r="40" customFormat="false" ht="15.75" hidden="false" customHeight="false" outlineLevel="0" collapsed="false">
      <c r="A40" s="5" t="s">
        <v>40</v>
      </c>
      <c r="B40" s="2" t="n">
        <v>10</v>
      </c>
    </row>
    <row r="41" customFormat="false" ht="15.75" hidden="false" customHeight="false" outlineLevel="0" collapsed="false">
      <c r="A41" s="5" t="s">
        <v>41</v>
      </c>
      <c r="B41" s="2" t="n">
        <v>10</v>
      </c>
    </row>
    <row r="42" customFormat="false" ht="15.75" hidden="false" customHeight="false" outlineLevel="0" collapsed="false">
      <c r="A42" s="5" t="s">
        <v>42</v>
      </c>
      <c r="B42" s="2" t="n">
        <v>10</v>
      </c>
    </row>
    <row r="43" customFormat="false" ht="15.75" hidden="false" customHeight="false" outlineLevel="0" collapsed="false">
      <c r="A43" s="5" t="s">
        <v>43</v>
      </c>
      <c r="B43" s="2" t="n">
        <v>8</v>
      </c>
    </row>
    <row r="44" customFormat="false" ht="15.75" hidden="false" customHeight="false" outlineLevel="0" collapsed="false">
      <c r="A44" s="5" t="s">
        <v>44</v>
      </c>
      <c r="B44" s="2" t="n">
        <v>10</v>
      </c>
    </row>
    <row r="45" customFormat="false" ht="15.75" hidden="false" customHeight="false" outlineLevel="0" collapsed="false">
      <c r="A45" s="5" t="s">
        <v>45</v>
      </c>
      <c r="B45" s="2" t="n">
        <v>5</v>
      </c>
    </row>
    <row r="46" customFormat="false" ht="15.75" hidden="false" customHeight="false" outlineLevel="0" collapsed="false">
      <c r="A46" s="5" t="s">
        <v>46</v>
      </c>
      <c r="B46" s="2" t="n">
        <v>9</v>
      </c>
    </row>
    <row r="47" customFormat="false" ht="15.75" hidden="false" customHeight="false" outlineLevel="0" collapsed="false">
      <c r="A47" s="5" t="s">
        <v>47</v>
      </c>
      <c r="B47" s="6" t="n">
        <v>9</v>
      </c>
    </row>
    <row r="48" customFormat="false" ht="15.75" hidden="false" customHeight="false" outlineLevel="0" collapsed="false">
      <c r="A48" s="5" t="s">
        <v>48</v>
      </c>
      <c r="B48" s="2" t="n">
        <v>7</v>
      </c>
    </row>
    <row r="49" customFormat="false" ht="15.75" hidden="false" customHeight="false" outlineLevel="0" collapsed="false">
      <c r="A49" s="5" t="s">
        <v>49</v>
      </c>
      <c r="B49" s="2" t="n">
        <v>10</v>
      </c>
    </row>
    <row r="50" customFormat="false" ht="15.75" hidden="false" customHeight="false" outlineLevel="0" collapsed="false">
      <c r="A50" s="5" t="s">
        <v>50</v>
      </c>
      <c r="B50" s="2" t="n">
        <v>10</v>
      </c>
    </row>
    <row r="51" customFormat="false" ht="15.75" hidden="false" customHeight="false" outlineLevel="0" collapsed="false">
      <c r="A51" s="5" t="s">
        <v>51</v>
      </c>
      <c r="B51" s="2" t="n">
        <v>8</v>
      </c>
    </row>
    <row r="52" customFormat="false" ht="15.75" hidden="false" customHeight="false" outlineLevel="0" collapsed="false">
      <c r="A52" s="5" t="s">
        <v>52</v>
      </c>
      <c r="B52" s="2" t="n">
        <v>8</v>
      </c>
    </row>
    <row r="53" customFormat="false" ht="15.75" hidden="false" customHeight="false" outlineLevel="0" collapsed="false">
      <c r="A53" s="5" t="s">
        <v>53</v>
      </c>
      <c r="B53" s="2" t="n">
        <v>10</v>
      </c>
    </row>
    <row r="54" customFormat="false" ht="15.75" hidden="false" customHeight="false" outlineLevel="0" collapsed="false">
      <c r="A54" s="5" t="s">
        <v>54</v>
      </c>
      <c r="B54" s="6" t="n">
        <v>10</v>
      </c>
    </row>
    <row r="55" customFormat="false" ht="15.75" hidden="false" customHeight="false" outlineLevel="0" collapsed="false">
      <c r="A55" s="5" t="s">
        <v>55</v>
      </c>
      <c r="B55" s="2" t="n">
        <v>10</v>
      </c>
    </row>
    <row r="56" customFormat="false" ht="15.75" hidden="false" customHeight="false" outlineLevel="0" collapsed="false">
      <c r="A56" s="5" t="s">
        <v>56</v>
      </c>
      <c r="B56" s="2" t="n">
        <v>10</v>
      </c>
    </row>
    <row r="57" customFormat="false" ht="15.75" hidden="false" customHeight="false" outlineLevel="0" collapsed="false">
      <c r="A57" s="5" t="s">
        <v>57</v>
      </c>
      <c r="B57" s="2" t="n">
        <v>10</v>
      </c>
    </row>
    <row r="58" customFormat="false" ht="15.75" hidden="false" customHeight="false" outlineLevel="0" collapsed="false">
      <c r="A58" s="5" t="s">
        <v>58</v>
      </c>
      <c r="B58" s="2" t="n">
        <v>10</v>
      </c>
    </row>
    <row r="59" customFormat="false" ht="15.75" hidden="false" customHeight="false" outlineLevel="0" collapsed="false">
      <c r="A59" s="5" t="s">
        <v>59</v>
      </c>
      <c r="B59" s="2" t="n">
        <v>10</v>
      </c>
    </row>
    <row r="60" customFormat="false" ht="15.75" hidden="false" customHeight="false" outlineLevel="0" collapsed="false">
      <c r="A60" s="5" t="s">
        <v>60</v>
      </c>
      <c r="B60" s="2" t="n">
        <v>9</v>
      </c>
    </row>
    <row r="61" customFormat="false" ht="15.75" hidden="false" customHeight="false" outlineLevel="0" collapsed="false">
      <c r="A61" s="5" t="s">
        <v>61</v>
      </c>
      <c r="B61" s="2" t="n">
        <v>10</v>
      </c>
    </row>
    <row r="62" customFormat="false" ht="15.75" hidden="false" customHeight="false" outlineLevel="0" collapsed="false">
      <c r="A62" s="5" t="s">
        <v>62</v>
      </c>
      <c r="B62" s="2" t="n">
        <v>10</v>
      </c>
    </row>
    <row r="63" customFormat="false" ht="15.75" hidden="false" customHeight="false" outlineLevel="0" collapsed="false">
      <c r="A63" s="5" t="s">
        <v>63</v>
      </c>
      <c r="B63" s="2" t="n">
        <v>8</v>
      </c>
    </row>
    <row r="64" customFormat="false" ht="15.75" hidden="false" customHeight="false" outlineLevel="0" collapsed="false">
      <c r="A64" s="5" t="s">
        <v>64</v>
      </c>
      <c r="B64" s="4"/>
    </row>
    <row r="65" customFormat="false" ht="15.75" hidden="false" customHeight="false" outlineLevel="0" collapsed="false">
      <c r="A65" s="5" t="s">
        <v>65</v>
      </c>
      <c r="B65" s="2" t="n">
        <v>9</v>
      </c>
    </row>
    <row r="66" customFormat="false" ht="15.75" hidden="false" customHeight="false" outlineLevel="0" collapsed="false">
      <c r="A66" s="5" t="s">
        <v>66</v>
      </c>
      <c r="B66" s="2" t="n">
        <v>10</v>
      </c>
    </row>
    <row r="67" customFormat="false" ht="15.75" hidden="false" customHeight="false" outlineLevel="0" collapsed="false">
      <c r="A67" s="5" t="s">
        <v>67</v>
      </c>
      <c r="B67" s="2" t="n">
        <v>10</v>
      </c>
    </row>
    <row r="68" customFormat="false" ht="15.75" hidden="false" customHeight="false" outlineLevel="0" collapsed="false">
      <c r="A68" s="5" t="s">
        <v>68</v>
      </c>
      <c r="B68" s="2" t="n">
        <v>10</v>
      </c>
    </row>
    <row r="69" customFormat="false" ht="15.75" hidden="false" customHeight="false" outlineLevel="0" collapsed="false">
      <c r="A69" s="5" t="s">
        <v>69</v>
      </c>
      <c r="B69" s="4"/>
    </row>
    <row r="70" customFormat="false" ht="15.75" hidden="false" customHeight="false" outlineLevel="0" collapsed="false">
      <c r="A70" s="5" t="s">
        <v>70</v>
      </c>
      <c r="B70" s="2" t="n">
        <v>10</v>
      </c>
    </row>
    <row r="71" customFormat="false" ht="15.75" hidden="false" customHeight="false" outlineLevel="0" collapsed="false">
      <c r="A71" s="5" t="s">
        <v>71</v>
      </c>
      <c r="B71" s="2" t="n">
        <v>7</v>
      </c>
    </row>
    <row r="72" customFormat="false" ht="15.75" hidden="false" customHeight="false" outlineLevel="0" collapsed="false">
      <c r="A72" s="5" t="s">
        <v>72</v>
      </c>
      <c r="B72" s="2" t="n">
        <v>10</v>
      </c>
    </row>
    <row r="73" customFormat="false" ht="15.75" hidden="false" customHeight="false" outlineLevel="0" collapsed="false">
      <c r="A73" s="5" t="s">
        <v>73</v>
      </c>
      <c r="B73" s="2" t="n">
        <v>10</v>
      </c>
    </row>
    <row r="74" customFormat="false" ht="15.75" hidden="false" customHeight="false" outlineLevel="0" collapsed="false">
      <c r="A74" s="5" t="s">
        <v>74</v>
      </c>
      <c r="B74" s="2" t="n">
        <v>6.5</v>
      </c>
    </row>
    <row r="75" customFormat="false" ht="15.75" hidden="false" customHeight="false" outlineLevel="0" collapsed="false">
      <c r="A75" s="5" t="s">
        <v>75</v>
      </c>
      <c r="B75" s="2" t="n">
        <v>9</v>
      </c>
    </row>
    <row r="76" customFormat="false" ht="15.75" hidden="false" customHeight="false" outlineLevel="0" collapsed="false">
      <c r="A76" s="5" t="s">
        <v>76</v>
      </c>
      <c r="B76" s="2" t="n">
        <v>10</v>
      </c>
    </row>
    <row r="77" customFormat="false" ht="15.75" hidden="false" customHeight="false" outlineLevel="0" collapsed="false">
      <c r="A77" s="5" t="s">
        <v>77</v>
      </c>
      <c r="B77" s="2" t="n">
        <v>10</v>
      </c>
    </row>
    <row r="78" customFormat="false" ht="15.75" hidden="false" customHeight="false" outlineLevel="0" collapsed="false">
      <c r="A78" s="5" t="s">
        <v>78</v>
      </c>
      <c r="B78" s="2" t="n">
        <v>7.5</v>
      </c>
    </row>
    <row r="79" customFormat="false" ht="15.75" hidden="false" customHeight="false" outlineLevel="0" collapsed="false">
      <c r="A79" s="5" t="s">
        <v>79</v>
      </c>
      <c r="B79" s="2" t="n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70" colorId="64" zoomScale="114" zoomScaleNormal="114" zoomScalePageLayoutView="100" workbookViewId="0">
      <selection pane="topLeft" activeCell="G75" activeCellId="0" sqref="G7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8.13"/>
    <col collapsed="false" customWidth="true" hidden="false" outlineLevel="0" max="2" min="2" style="1" width="15.51"/>
    <col collapsed="false" customWidth="true" hidden="false" outlineLevel="0" max="3" min="3" style="1" width="14.88"/>
    <col collapsed="false" customWidth="true" hidden="false" outlineLevel="0" max="4" min="4" style="1" width="13.88"/>
    <col collapsed="false" customWidth="true" hidden="false" outlineLevel="0" max="5" min="5" style="1" width="14.13"/>
  </cols>
  <sheetData>
    <row r="1" customFormat="false" ht="15.75" hidden="false" customHeight="false" outlineLevel="0" collapsed="false">
      <c r="A1" s="2" t="s">
        <v>0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 customFormat="false" ht="15.75" hidden="false" customHeight="false" outlineLevel="0" collapsed="false">
      <c r="A2" s="3" t="s">
        <v>2</v>
      </c>
      <c r="B2" s="2" t="n">
        <v>0</v>
      </c>
      <c r="E2" s="2" t="n">
        <f aca="false">IF(B2=0,0,)</f>
        <v>0</v>
      </c>
      <c r="F2" s="2" t="n">
        <f aca="false">IF(B2=0,0,)</f>
        <v>0</v>
      </c>
      <c r="G2" s="2" t="n">
        <f aca="false">SUM(D2,F2)</f>
        <v>0</v>
      </c>
    </row>
    <row r="3" customFormat="false" ht="15.75" hidden="false" customHeight="false" outlineLevel="0" collapsed="false">
      <c r="A3" s="5" t="s">
        <v>3</v>
      </c>
      <c r="B3" s="2" t="n">
        <v>1</v>
      </c>
      <c r="C3" s="2" t="s">
        <v>86</v>
      </c>
      <c r="D3" s="2" t="n">
        <v>5</v>
      </c>
      <c r="E3" s="2" t="s">
        <v>87</v>
      </c>
      <c r="F3" s="2" t="n">
        <v>5</v>
      </c>
      <c r="G3" s="2" t="n">
        <f aca="false">SUM(D3,F3)</f>
        <v>10</v>
      </c>
    </row>
    <row r="4" customFormat="false" ht="15.75" hidden="false" customHeight="false" outlineLevel="0" collapsed="false">
      <c r="A4" s="5" t="s">
        <v>4</v>
      </c>
      <c r="B4" s="2" t="n">
        <v>0</v>
      </c>
      <c r="C4" s="2"/>
      <c r="E4" s="2" t="n">
        <f aca="false">IF(B4=0,0,)</f>
        <v>0</v>
      </c>
      <c r="F4" s="2" t="n">
        <f aca="false">IF(B4=0,0,)</f>
        <v>0</v>
      </c>
      <c r="G4" s="2" t="n">
        <f aca="false">SUM(D4,F4)</f>
        <v>0</v>
      </c>
    </row>
    <row r="5" customFormat="false" ht="15.75" hidden="false" customHeight="false" outlineLevel="0" collapsed="false">
      <c r="A5" s="5" t="s">
        <v>5</v>
      </c>
      <c r="B5" s="2" t="n">
        <v>1</v>
      </c>
      <c r="C5" s="2" t="s">
        <v>88</v>
      </c>
      <c r="D5" s="2" t="n">
        <v>5</v>
      </c>
      <c r="E5" s="2" t="s">
        <v>87</v>
      </c>
      <c r="F5" s="2" t="n">
        <v>4.8</v>
      </c>
      <c r="G5" s="2" t="n">
        <f aca="false">SUM(D5,F5)</f>
        <v>9.8</v>
      </c>
    </row>
    <row r="6" customFormat="false" ht="15.75" hidden="false" customHeight="false" outlineLevel="0" collapsed="false">
      <c r="A6" s="5" t="s">
        <v>6</v>
      </c>
      <c r="B6" s="2" t="n">
        <v>1</v>
      </c>
      <c r="C6" s="2" t="s">
        <v>89</v>
      </c>
      <c r="D6" s="2" t="n">
        <v>5</v>
      </c>
      <c r="E6" s="2" t="s">
        <v>87</v>
      </c>
      <c r="F6" s="2" t="n">
        <v>5</v>
      </c>
      <c r="G6" s="2" t="n">
        <f aca="false">SUM(D6,F6)</f>
        <v>10</v>
      </c>
    </row>
    <row r="7" customFormat="false" ht="15.75" hidden="false" customHeight="false" outlineLevel="0" collapsed="false">
      <c r="A7" s="5" t="s">
        <v>7</v>
      </c>
      <c r="B7" s="2" t="n">
        <v>1</v>
      </c>
      <c r="C7" s="2" t="s">
        <v>90</v>
      </c>
      <c r="D7" s="2" t="n">
        <v>5</v>
      </c>
      <c r="E7" s="2" t="s">
        <v>87</v>
      </c>
      <c r="F7" s="2" t="n">
        <v>5</v>
      </c>
      <c r="G7" s="2" t="n">
        <f aca="false">SUM(D7,F7)</f>
        <v>10</v>
      </c>
    </row>
    <row r="8" customFormat="false" ht="15.75" hidden="false" customHeight="false" outlineLevel="0" collapsed="false">
      <c r="A8" s="5" t="s">
        <v>8</v>
      </c>
      <c r="B8" s="2" t="n">
        <v>1</v>
      </c>
      <c r="C8" s="2" t="s">
        <v>89</v>
      </c>
      <c r="D8" s="2" t="n">
        <v>5</v>
      </c>
      <c r="E8" s="2" t="s">
        <v>87</v>
      </c>
      <c r="F8" s="2" t="n">
        <v>2</v>
      </c>
      <c r="G8" s="2" t="n">
        <f aca="false">SUM(D8,F8)</f>
        <v>7</v>
      </c>
    </row>
    <row r="9" customFormat="false" ht="15.75" hidden="false" customHeight="false" outlineLevel="0" collapsed="false">
      <c r="A9" s="5" t="s">
        <v>9</v>
      </c>
      <c r="B9" s="2" t="n">
        <v>1</v>
      </c>
      <c r="C9" s="2" t="s">
        <v>91</v>
      </c>
      <c r="D9" s="2" t="n">
        <v>5</v>
      </c>
      <c r="E9" s="2" t="s">
        <v>87</v>
      </c>
      <c r="F9" s="2" t="n">
        <v>4.8</v>
      </c>
      <c r="G9" s="2" t="n">
        <f aca="false">SUM(D9,F9)</f>
        <v>9.8</v>
      </c>
    </row>
    <row r="10" customFormat="false" ht="15.75" hidden="false" customHeight="false" outlineLevel="0" collapsed="false">
      <c r="A10" s="5" t="s">
        <v>10</v>
      </c>
      <c r="B10" s="2" t="n">
        <v>1</v>
      </c>
      <c r="C10" s="2" t="s">
        <v>92</v>
      </c>
      <c r="D10" s="2" t="n">
        <v>3</v>
      </c>
      <c r="E10" s="2" t="s">
        <v>87</v>
      </c>
      <c r="F10" s="2" t="n">
        <v>4.8</v>
      </c>
      <c r="G10" s="2" t="n">
        <f aca="false">SUM(D10,F10)</f>
        <v>7.8</v>
      </c>
    </row>
    <row r="11" customFormat="false" ht="15.75" hidden="false" customHeight="false" outlineLevel="0" collapsed="false">
      <c r="A11" s="5" t="s">
        <v>11</v>
      </c>
      <c r="B11" s="2" t="n">
        <v>1</v>
      </c>
      <c r="C11" s="2" t="s">
        <v>88</v>
      </c>
      <c r="D11" s="2" t="n">
        <v>5</v>
      </c>
      <c r="E11" s="2" t="s">
        <v>87</v>
      </c>
      <c r="F11" s="2" t="n">
        <v>5</v>
      </c>
      <c r="G11" s="2" t="n">
        <f aca="false">SUM(D11,F11)</f>
        <v>10</v>
      </c>
    </row>
    <row r="12" customFormat="false" ht="15.75" hidden="false" customHeight="false" outlineLevel="0" collapsed="false">
      <c r="A12" s="5" t="s">
        <v>12</v>
      </c>
      <c r="B12" s="2" t="n">
        <v>1</v>
      </c>
      <c r="C12" s="2" t="s">
        <v>86</v>
      </c>
      <c r="D12" s="2" t="n">
        <v>5</v>
      </c>
      <c r="E12" s="2" t="s">
        <v>87</v>
      </c>
      <c r="F12" s="2" t="n">
        <v>5</v>
      </c>
      <c r="G12" s="2" t="n">
        <f aca="false">SUM(D12,F12)</f>
        <v>10</v>
      </c>
    </row>
    <row r="13" customFormat="false" ht="15.75" hidden="false" customHeight="false" outlineLevel="0" collapsed="false">
      <c r="A13" s="5" t="s">
        <v>13</v>
      </c>
      <c r="B13" s="2" t="n">
        <v>1</v>
      </c>
      <c r="C13" s="2" t="s">
        <v>88</v>
      </c>
      <c r="D13" s="2" t="n">
        <v>5</v>
      </c>
      <c r="E13" s="2" t="s">
        <v>87</v>
      </c>
      <c r="F13" s="2" t="n">
        <v>5</v>
      </c>
      <c r="G13" s="2" t="n">
        <f aca="false">SUM(D13,F13)</f>
        <v>10</v>
      </c>
    </row>
    <row r="14" customFormat="false" ht="15.75" hidden="false" customHeight="false" outlineLevel="0" collapsed="false">
      <c r="A14" s="5" t="s">
        <v>14</v>
      </c>
      <c r="B14" s="2" t="n">
        <v>0</v>
      </c>
      <c r="E14" s="2" t="n">
        <f aca="false">IF(B14=0,0,)</f>
        <v>0</v>
      </c>
      <c r="F14" s="2" t="n">
        <f aca="false">IF(B14=0,0,)</f>
        <v>0</v>
      </c>
      <c r="G14" s="2" t="n">
        <f aca="false">SUM(D14,F14)</f>
        <v>0</v>
      </c>
    </row>
    <row r="15" customFormat="false" ht="15.75" hidden="false" customHeight="false" outlineLevel="0" collapsed="false">
      <c r="A15" s="5" t="s">
        <v>15</v>
      </c>
      <c r="B15" s="2" t="n">
        <v>1</v>
      </c>
      <c r="C15" s="2" t="s">
        <v>90</v>
      </c>
      <c r="D15" s="2" t="n">
        <v>5</v>
      </c>
      <c r="E15" s="2" t="s">
        <v>87</v>
      </c>
      <c r="F15" s="2" t="n">
        <v>5</v>
      </c>
      <c r="G15" s="2" t="n">
        <f aca="false">SUM(D15,F15)</f>
        <v>10</v>
      </c>
    </row>
    <row r="16" customFormat="false" ht="15.75" hidden="false" customHeight="false" outlineLevel="0" collapsed="false">
      <c r="A16" s="5" t="s">
        <v>16</v>
      </c>
      <c r="B16" s="2" t="n">
        <v>1</v>
      </c>
      <c r="C16" s="2" t="s">
        <v>89</v>
      </c>
      <c r="D16" s="2" t="n">
        <v>5</v>
      </c>
      <c r="E16" s="2" t="s">
        <v>87</v>
      </c>
      <c r="F16" s="2" t="n">
        <v>4.8</v>
      </c>
      <c r="G16" s="2" t="n">
        <f aca="false">SUM(D16,F16)</f>
        <v>9.8</v>
      </c>
    </row>
    <row r="17" customFormat="false" ht="15.75" hidden="false" customHeight="false" outlineLevel="0" collapsed="false">
      <c r="A17" s="5" t="s">
        <v>17</v>
      </c>
      <c r="B17" s="2" t="n">
        <v>1</v>
      </c>
      <c r="C17" s="2" t="s">
        <v>86</v>
      </c>
      <c r="D17" s="2" t="n">
        <v>5</v>
      </c>
      <c r="E17" s="2" t="s">
        <v>87</v>
      </c>
      <c r="F17" s="2" t="n">
        <v>5</v>
      </c>
      <c r="G17" s="2" t="n">
        <f aca="false">SUM(D17,F17)</f>
        <v>10</v>
      </c>
    </row>
    <row r="18" customFormat="false" ht="15.75" hidden="false" customHeight="false" outlineLevel="0" collapsed="false">
      <c r="A18" s="5" t="s">
        <v>18</v>
      </c>
      <c r="B18" s="2" t="n">
        <v>1</v>
      </c>
      <c r="C18" s="2" t="s">
        <v>90</v>
      </c>
      <c r="D18" s="2" t="n">
        <v>3</v>
      </c>
      <c r="E18" s="2" t="s">
        <v>87</v>
      </c>
      <c r="F18" s="2" t="n">
        <v>5</v>
      </c>
      <c r="G18" s="2" t="n">
        <f aca="false">SUM(D18,F18)</f>
        <v>8</v>
      </c>
    </row>
    <row r="19" customFormat="false" ht="15.75" hidden="false" customHeight="false" outlineLevel="0" collapsed="false">
      <c r="A19" s="5" t="s">
        <v>19</v>
      </c>
      <c r="B19" s="2" t="n">
        <v>1</v>
      </c>
      <c r="C19" s="2" t="s">
        <v>91</v>
      </c>
      <c r="D19" s="2" t="n">
        <v>4</v>
      </c>
      <c r="E19" s="2" t="s">
        <v>87</v>
      </c>
      <c r="F19" s="2" t="n">
        <v>4.5</v>
      </c>
      <c r="G19" s="2" t="n">
        <f aca="false">SUM(D19,F19)</f>
        <v>8.5</v>
      </c>
    </row>
    <row r="20" customFormat="false" ht="15.75" hidden="false" customHeight="false" outlineLevel="0" collapsed="false">
      <c r="A20" s="5" t="s">
        <v>20</v>
      </c>
      <c r="B20" s="2" t="n">
        <v>1</v>
      </c>
      <c r="C20" s="2" t="s">
        <v>86</v>
      </c>
      <c r="D20" s="2" t="n">
        <v>5</v>
      </c>
      <c r="E20" s="2" t="s">
        <v>87</v>
      </c>
      <c r="F20" s="2" t="n">
        <v>5</v>
      </c>
      <c r="G20" s="2" t="n">
        <f aca="false">SUM(D20,F20)</f>
        <v>10</v>
      </c>
    </row>
    <row r="21" customFormat="false" ht="15.75" hidden="false" customHeight="false" outlineLevel="0" collapsed="false">
      <c r="A21" s="5" t="s">
        <v>21</v>
      </c>
      <c r="B21" s="2" t="n">
        <v>1</v>
      </c>
      <c r="C21" s="2" t="s">
        <v>91</v>
      </c>
      <c r="D21" s="2" t="n">
        <v>5</v>
      </c>
      <c r="E21" s="2" t="s">
        <v>87</v>
      </c>
      <c r="F21" s="2" t="n">
        <v>2</v>
      </c>
      <c r="G21" s="2" t="n">
        <f aca="false">SUM(D21,F21)</f>
        <v>7</v>
      </c>
    </row>
    <row r="22" customFormat="false" ht="15.75" hidden="false" customHeight="false" outlineLevel="0" collapsed="false">
      <c r="A22" s="5" t="s">
        <v>22</v>
      </c>
      <c r="B22" s="2" t="n">
        <v>1</v>
      </c>
      <c r="C22" s="2" t="s">
        <v>88</v>
      </c>
      <c r="D22" s="2" t="n">
        <v>5</v>
      </c>
      <c r="E22" s="2" t="s">
        <v>87</v>
      </c>
      <c r="F22" s="2" t="n">
        <v>5</v>
      </c>
      <c r="G22" s="2" t="n">
        <f aca="false">SUM(D22,F22)</f>
        <v>10</v>
      </c>
    </row>
    <row r="23" customFormat="false" ht="15.75" hidden="false" customHeight="false" outlineLevel="0" collapsed="false">
      <c r="A23" s="5" t="s">
        <v>23</v>
      </c>
      <c r="B23" s="2" t="n">
        <v>1</v>
      </c>
      <c r="C23" s="2" t="s">
        <v>86</v>
      </c>
      <c r="D23" s="2" t="n">
        <v>5</v>
      </c>
      <c r="E23" s="2" t="s">
        <v>87</v>
      </c>
      <c r="F23" s="2" t="n">
        <v>4.8</v>
      </c>
      <c r="G23" s="2" t="n">
        <f aca="false">SUM(D23,F23)</f>
        <v>9.8</v>
      </c>
    </row>
    <row r="24" customFormat="false" ht="15.75" hidden="false" customHeight="false" outlineLevel="0" collapsed="false">
      <c r="A24" s="5" t="s">
        <v>24</v>
      </c>
      <c r="B24" s="2" t="n">
        <v>1</v>
      </c>
      <c r="C24" s="2" t="s">
        <v>89</v>
      </c>
      <c r="D24" s="2" t="n">
        <v>5</v>
      </c>
      <c r="E24" s="2" t="s">
        <v>87</v>
      </c>
      <c r="F24" s="2" t="n">
        <v>4.8</v>
      </c>
      <c r="G24" s="2" t="n">
        <f aca="false">SUM(D24,F24)</f>
        <v>9.8</v>
      </c>
    </row>
    <row r="25" customFormat="false" ht="15.75" hidden="false" customHeight="false" outlineLevel="0" collapsed="false">
      <c r="A25" s="5" t="s">
        <v>25</v>
      </c>
      <c r="B25" s="2" t="n">
        <v>1</v>
      </c>
      <c r="C25" s="2" t="s">
        <v>88</v>
      </c>
      <c r="D25" s="2" t="n">
        <v>4</v>
      </c>
      <c r="E25" s="2" t="s">
        <v>87</v>
      </c>
      <c r="F25" s="2" t="n">
        <v>5</v>
      </c>
      <c r="G25" s="2" t="n">
        <f aca="false">SUM(D25,F25)</f>
        <v>9</v>
      </c>
    </row>
    <row r="26" customFormat="false" ht="15.75" hidden="false" customHeight="false" outlineLevel="0" collapsed="false">
      <c r="A26" s="5" t="s">
        <v>26</v>
      </c>
      <c r="B26" s="2" t="n">
        <v>0</v>
      </c>
      <c r="E26" s="2" t="n">
        <f aca="false">IF(B26=0,0,)</f>
        <v>0</v>
      </c>
      <c r="F26" s="2" t="n">
        <f aca="false">IF(B26=0,0,)</f>
        <v>0</v>
      </c>
      <c r="G26" s="2" t="n">
        <f aca="false">SUM(D26,F26)</f>
        <v>0</v>
      </c>
    </row>
    <row r="27" customFormat="false" ht="15.75" hidden="false" customHeight="false" outlineLevel="0" collapsed="false">
      <c r="A27" s="5" t="s">
        <v>27</v>
      </c>
      <c r="B27" s="2" t="n">
        <v>1</v>
      </c>
      <c r="C27" s="2" t="s">
        <v>91</v>
      </c>
      <c r="D27" s="2" t="n">
        <v>5</v>
      </c>
      <c r="E27" s="2" t="s">
        <v>87</v>
      </c>
      <c r="F27" s="2" t="n">
        <v>4.8</v>
      </c>
      <c r="G27" s="2" t="n">
        <f aca="false">SUM(D27,F27)</f>
        <v>9.8</v>
      </c>
    </row>
    <row r="28" customFormat="false" ht="15.75" hidden="false" customHeight="false" outlineLevel="0" collapsed="false">
      <c r="A28" s="5" t="s">
        <v>28</v>
      </c>
      <c r="B28" s="2" t="n">
        <v>1</v>
      </c>
      <c r="C28" s="2" t="s">
        <v>88</v>
      </c>
      <c r="D28" s="2" t="n">
        <v>5</v>
      </c>
      <c r="E28" s="2" t="s">
        <v>87</v>
      </c>
      <c r="F28" s="2" t="n">
        <v>5</v>
      </c>
      <c r="G28" s="2" t="n">
        <f aca="false">SUM(D28,F28)</f>
        <v>10</v>
      </c>
    </row>
    <row r="29" customFormat="false" ht="15.75" hidden="false" customHeight="false" outlineLevel="0" collapsed="false">
      <c r="A29" s="5" t="s">
        <v>29</v>
      </c>
      <c r="B29" s="2" t="n">
        <v>1</v>
      </c>
      <c r="C29" s="2" t="s">
        <v>86</v>
      </c>
      <c r="D29" s="2" t="n">
        <v>5</v>
      </c>
      <c r="E29" s="2" t="s">
        <v>87</v>
      </c>
      <c r="F29" s="2" t="n">
        <v>5</v>
      </c>
      <c r="G29" s="2" t="n">
        <f aca="false">SUM(D29,F29)</f>
        <v>10</v>
      </c>
    </row>
    <row r="30" customFormat="false" ht="15.75" hidden="false" customHeight="false" outlineLevel="0" collapsed="false">
      <c r="A30" s="5" t="s">
        <v>30</v>
      </c>
      <c r="B30" s="2" t="n">
        <v>1</v>
      </c>
      <c r="C30" s="2" t="s">
        <v>88</v>
      </c>
      <c r="D30" s="2" t="n">
        <v>5</v>
      </c>
      <c r="E30" s="2" t="s">
        <v>87</v>
      </c>
      <c r="F30" s="2" t="n">
        <v>4.8</v>
      </c>
      <c r="G30" s="2" t="n">
        <f aca="false">SUM(D30,F30)</f>
        <v>9.8</v>
      </c>
    </row>
    <row r="31" customFormat="false" ht="15.75" hidden="false" customHeight="false" outlineLevel="0" collapsed="false">
      <c r="A31" s="5" t="s">
        <v>31</v>
      </c>
      <c r="B31" s="2" t="n">
        <v>1</v>
      </c>
      <c r="C31" s="2" t="s">
        <v>89</v>
      </c>
      <c r="D31" s="2" t="n">
        <v>5</v>
      </c>
      <c r="E31" s="2" t="s">
        <v>87</v>
      </c>
      <c r="F31" s="2" t="n">
        <v>5</v>
      </c>
      <c r="G31" s="2" t="n">
        <f aca="false">SUM(D31,F31)</f>
        <v>10</v>
      </c>
    </row>
    <row r="32" customFormat="false" ht="15.75" hidden="false" customHeight="false" outlineLevel="0" collapsed="false">
      <c r="A32" s="5" t="s">
        <v>32</v>
      </c>
      <c r="B32" s="2" t="n">
        <v>1</v>
      </c>
      <c r="C32" s="2" t="s">
        <v>91</v>
      </c>
      <c r="D32" s="2" t="n">
        <v>5</v>
      </c>
      <c r="E32" s="2" t="s">
        <v>87</v>
      </c>
      <c r="F32" s="2" t="n">
        <v>4.5</v>
      </c>
      <c r="G32" s="2" t="n">
        <f aca="false">SUM(D32,F32)</f>
        <v>9.5</v>
      </c>
    </row>
    <row r="33" customFormat="false" ht="15.75" hidden="false" customHeight="false" outlineLevel="0" collapsed="false">
      <c r="A33" s="5" t="s">
        <v>33</v>
      </c>
      <c r="B33" s="2" t="n">
        <v>1</v>
      </c>
      <c r="C33" s="2" t="s">
        <v>88</v>
      </c>
      <c r="D33" s="2" t="n">
        <v>5</v>
      </c>
      <c r="E33" s="2" t="s">
        <v>87</v>
      </c>
      <c r="F33" s="2" t="n">
        <v>4.8</v>
      </c>
      <c r="G33" s="2" t="n">
        <f aca="false">SUM(D33,F33)</f>
        <v>9.8</v>
      </c>
    </row>
    <row r="34" customFormat="false" ht="15.75" hidden="false" customHeight="false" outlineLevel="0" collapsed="false">
      <c r="A34" s="5" t="s">
        <v>34</v>
      </c>
      <c r="B34" s="2" t="n">
        <v>1</v>
      </c>
      <c r="C34" s="2" t="s">
        <v>90</v>
      </c>
      <c r="D34" s="2" t="n">
        <v>5</v>
      </c>
      <c r="E34" s="2" t="s">
        <v>87</v>
      </c>
      <c r="F34" s="2" t="n">
        <v>4.5</v>
      </c>
      <c r="G34" s="2" t="n">
        <f aca="false">SUM(D34,F34)</f>
        <v>9.5</v>
      </c>
    </row>
    <row r="35" customFormat="false" ht="15.75" hidden="false" customHeight="false" outlineLevel="0" collapsed="false">
      <c r="A35" s="5" t="s">
        <v>35</v>
      </c>
      <c r="B35" s="2" t="n">
        <v>0</v>
      </c>
      <c r="E35" s="2" t="n">
        <f aca="false">IF(B35=0,0,)</f>
        <v>0</v>
      </c>
      <c r="F35" s="2" t="n">
        <f aca="false">IF(B35=0,0,)</f>
        <v>0</v>
      </c>
      <c r="G35" s="2" t="n">
        <f aca="false">SUM(D35,F35)</f>
        <v>0</v>
      </c>
    </row>
    <row r="36" customFormat="false" ht="15.75" hidden="false" customHeight="false" outlineLevel="0" collapsed="false">
      <c r="A36" s="5" t="s">
        <v>36</v>
      </c>
      <c r="B36" s="2" t="n">
        <v>1</v>
      </c>
      <c r="C36" s="2" t="s">
        <v>89</v>
      </c>
      <c r="D36" s="2" t="n">
        <v>5</v>
      </c>
      <c r="E36" s="2" t="s">
        <v>87</v>
      </c>
      <c r="F36" s="2" t="n">
        <v>5</v>
      </c>
      <c r="G36" s="2" t="n">
        <f aca="false">SUM(D36,F36)</f>
        <v>10</v>
      </c>
    </row>
    <row r="37" customFormat="false" ht="15.75" hidden="false" customHeight="false" outlineLevel="0" collapsed="false">
      <c r="A37" s="5" t="s">
        <v>37</v>
      </c>
      <c r="B37" s="2" t="n">
        <v>1</v>
      </c>
      <c r="C37" s="2" t="s">
        <v>91</v>
      </c>
      <c r="D37" s="2" t="n">
        <v>5</v>
      </c>
      <c r="E37" s="2" t="s">
        <v>87</v>
      </c>
      <c r="F37" s="2" t="n">
        <v>5</v>
      </c>
      <c r="G37" s="2" t="n">
        <f aca="false">SUM(D37,F37)</f>
        <v>10</v>
      </c>
    </row>
    <row r="38" customFormat="false" ht="15.75" hidden="false" customHeight="false" outlineLevel="0" collapsed="false">
      <c r="A38" s="5" t="s">
        <v>38</v>
      </c>
      <c r="B38" s="2" t="n">
        <v>1</v>
      </c>
      <c r="C38" s="2" t="s">
        <v>88</v>
      </c>
      <c r="D38" s="2" t="n">
        <v>5</v>
      </c>
      <c r="E38" s="2" t="s">
        <v>87</v>
      </c>
      <c r="F38" s="2" t="n">
        <v>5</v>
      </c>
      <c r="G38" s="2" t="n">
        <f aca="false">SUM(D38,F38)</f>
        <v>10</v>
      </c>
    </row>
    <row r="39" customFormat="false" ht="15.75" hidden="false" customHeight="false" outlineLevel="0" collapsed="false">
      <c r="A39" s="5" t="s">
        <v>39</v>
      </c>
      <c r="B39" s="2" t="n">
        <v>1</v>
      </c>
      <c r="C39" s="2" t="s">
        <v>86</v>
      </c>
      <c r="D39" s="2" t="n">
        <v>5</v>
      </c>
      <c r="E39" s="2" t="s">
        <v>87</v>
      </c>
      <c r="F39" s="2" t="n">
        <v>5</v>
      </c>
      <c r="G39" s="2" t="n">
        <f aca="false">SUM(D39,F39)</f>
        <v>10</v>
      </c>
    </row>
    <row r="40" customFormat="false" ht="15.75" hidden="false" customHeight="false" outlineLevel="0" collapsed="false">
      <c r="A40" s="5" t="s">
        <v>40</v>
      </c>
      <c r="B40" s="2" t="n">
        <v>1</v>
      </c>
      <c r="C40" s="2" t="s">
        <v>88</v>
      </c>
      <c r="D40" s="2" t="n">
        <v>5</v>
      </c>
      <c r="E40" s="2" t="s">
        <v>87</v>
      </c>
      <c r="F40" s="2" t="n">
        <v>5</v>
      </c>
      <c r="G40" s="2" t="n">
        <f aca="false">SUM(D40,F40)</f>
        <v>10</v>
      </c>
    </row>
    <row r="41" customFormat="false" ht="15.75" hidden="false" customHeight="false" outlineLevel="0" collapsed="false">
      <c r="A41" s="5" t="s">
        <v>41</v>
      </c>
      <c r="B41" s="2" t="n">
        <v>1</v>
      </c>
      <c r="C41" s="2" t="s">
        <v>90</v>
      </c>
      <c r="D41" s="2" t="n">
        <v>5</v>
      </c>
      <c r="E41" s="2" t="s">
        <v>87</v>
      </c>
      <c r="F41" s="2" t="n">
        <v>5</v>
      </c>
      <c r="G41" s="2" t="n">
        <f aca="false">SUM(D41,F41)</f>
        <v>10</v>
      </c>
    </row>
    <row r="42" customFormat="false" ht="15.75" hidden="false" customHeight="false" outlineLevel="0" collapsed="false">
      <c r="A42" s="5" t="s">
        <v>42</v>
      </c>
      <c r="B42" s="2" t="n">
        <v>1</v>
      </c>
      <c r="C42" s="2" t="s">
        <v>89</v>
      </c>
      <c r="D42" s="2" t="n">
        <v>5</v>
      </c>
      <c r="E42" s="2" t="s">
        <v>87</v>
      </c>
      <c r="F42" s="2" t="n">
        <v>5</v>
      </c>
      <c r="G42" s="2" t="n">
        <f aca="false">SUM(D42,F42)</f>
        <v>10</v>
      </c>
    </row>
    <row r="43" customFormat="false" ht="15.75" hidden="false" customHeight="false" outlineLevel="0" collapsed="false">
      <c r="A43" s="5" t="s">
        <v>43</v>
      </c>
      <c r="B43" s="2" t="n">
        <v>1</v>
      </c>
      <c r="C43" s="2" t="s">
        <v>86</v>
      </c>
      <c r="D43" s="2" t="n">
        <v>5</v>
      </c>
      <c r="E43" s="2" t="s">
        <v>87</v>
      </c>
      <c r="F43" s="2" t="n">
        <v>4.8</v>
      </c>
      <c r="G43" s="2" t="n">
        <f aca="false">SUM(D43,F43)</f>
        <v>9.8</v>
      </c>
    </row>
    <row r="44" customFormat="false" ht="15.75" hidden="false" customHeight="false" outlineLevel="0" collapsed="false">
      <c r="A44" s="5" t="s">
        <v>44</v>
      </c>
      <c r="B44" s="2" t="n">
        <v>1</v>
      </c>
      <c r="C44" s="2" t="s">
        <v>91</v>
      </c>
      <c r="D44" s="2" t="n">
        <v>4.5</v>
      </c>
      <c r="E44" s="2" t="s">
        <v>87</v>
      </c>
      <c r="F44" s="2" t="n">
        <v>5</v>
      </c>
      <c r="G44" s="2" t="n">
        <f aca="false">SUM(D44,F44)</f>
        <v>9.5</v>
      </c>
    </row>
    <row r="45" customFormat="false" ht="15.75" hidden="false" customHeight="false" outlineLevel="0" collapsed="false">
      <c r="A45" s="5" t="s">
        <v>45</v>
      </c>
      <c r="B45" s="2" t="n">
        <v>1</v>
      </c>
      <c r="C45" s="2" t="s">
        <v>86</v>
      </c>
      <c r="D45" s="2" t="n">
        <v>5</v>
      </c>
      <c r="E45" s="2" t="s">
        <v>87</v>
      </c>
      <c r="F45" s="2" t="n">
        <v>5</v>
      </c>
      <c r="G45" s="2" t="n">
        <f aca="false">SUM(D45,F45)</f>
        <v>10</v>
      </c>
    </row>
    <row r="46" customFormat="false" ht="15.75" hidden="false" customHeight="false" outlineLevel="0" collapsed="false">
      <c r="A46" s="5" t="s">
        <v>46</v>
      </c>
      <c r="B46" s="2" t="n">
        <v>1</v>
      </c>
      <c r="C46" s="2" t="s">
        <v>86</v>
      </c>
      <c r="D46" s="2" t="n">
        <v>5</v>
      </c>
      <c r="E46" s="2" t="s">
        <v>87</v>
      </c>
      <c r="F46" s="2" t="n">
        <v>5</v>
      </c>
      <c r="G46" s="2" t="n">
        <f aca="false">SUM(D46,F46)</f>
        <v>10</v>
      </c>
    </row>
    <row r="47" customFormat="false" ht="15.75" hidden="false" customHeight="false" outlineLevel="0" collapsed="false">
      <c r="A47" s="5" t="s">
        <v>47</v>
      </c>
      <c r="B47" s="2" t="n">
        <v>0</v>
      </c>
      <c r="E47" s="2" t="n">
        <f aca="false">IF(B47=0,0,)</f>
        <v>0</v>
      </c>
      <c r="F47" s="2" t="n">
        <f aca="false">IF(B47=0,0,)</f>
        <v>0</v>
      </c>
      <c r="G47" s="2" t="n">
        <f aca="false">SUM(D47,F47)</f>
        <v>0</v>
      </c>
    </row>
    <row r="48" customFormat="false" ht="15.75" hidden="false" customHeight="false" outlineLevel="0" collapsed="false">
      <c r="A48" s="5" t="s">
        <v>48</v>
      </c>
      <c r="B48" s="2" t="n">
        <v>1</v>
      </c>
      <c r="C48" s="2" t="s">
        <v>89</v>
      </c>
      <c r="D48" s="2" t="n">
        <v>5</v>
      </c>
      <c r="E48" s="2" t="s">
        <v>87</v>
      </c>
      <c r="F48" s="2" t="n">
        <v>5</v>
      </c>
      <c r="G48" s="2" t="n">
        <f aca="false">SUM(D48,F48)</f>
        <v>10</v>
      </c>
    </row>
    <row r="49" customFormat="false" ht="15.75" hidden="false" customHeight="false" outlineLevel="0" collapsed="false">
      <c r="A49" s="5" t="s">
        <v>49</v>
      </c>
      <c r="B49" s="2" t="n">
        <v>1</v>
      </c>
      <c r="C49" s="2" t="s">
        <v>86</v>
      </c>
      <c r="D49" s="2" t="n">
        <v>4</v>
      </c>
      <c r="E49" s="2" t="s">
        <v>87</v>
      </c>
      <c r="F49" s="2" t="n">
        <v>5</v>
      </c>
      <c r="G49" s="2" t="n">
        <f aca="false">SUM(D49,F49)</f>
        <v>9</v>
      </c>
    </row>
    <row r="50" customFormat="false" ht="15.75" hidden="false" customHeight="false" outlineLevel="0" collapsed="false">
      <c r="A50" s="5" t="s">
        <v>50</v>
      </c>
      <c r="B50" s="2" t="n">
        <v>1</v>
      </c>
      <c r="C50" s="2" t="s">
        <v>88</v>
      </c>
      <c r="D50" s="2" t="n">
        <v>5</v>
      </c>
      <c r="E50" s="2" t="s">
        <v>87</v>
      </c>
      <c r="F50" s="2" t="n">
        <v>5</v>
      </c>
      <c r="G50" s="2" t="n">
        <f aca="false">SUM(D50,F50)</f>
        <v>10</v>
      </c>
    </row>
    <row r="51" customFormat="false" ht="15.75" hidden="false" customHeight="false" outlineLevel="0" collapsed="false">
      <c r="A51" s="5" t="s">
        <v>51</v>
      </c>
      <c r="B51" s="2" t="n">
        <v>1</v>
      </c>
      <c r="C51" s="2" t="s">
        <v>90</v>
      </c>
      <c r="D51" s="2" t="n">
        <v>5</v>
      </c>
      <c r="E51" s="2" t="s">
        <v>87</v>
      </c>
      <c r="F51" s="2" t="n">
        <v>5</v>
      </c>
      <c r="G51" s="2" t="n">
        <f aca="false">SUM(D51,F51)</f>
        <v>10</v>
      </c>
    </row>
    <row r="52" customFormat="false" ht="15.75" hidden="false" customHeight="false" outlineLevel="0" collapsed="false">
      <c r="A52" s="5" t="s">
        <v>52</v>
      </c>
      <c r="B52" s="2" t="n">
        <v>1</v>
      </c>
      <c r="C52" s="2" t="s">
        <v>91</v>
      </c>
      <c r="D52" s="2" t="n">
        <v>5</v>
      </c>
      <c r="E52" s="2" t="s">
        <v>93</v>
      </c>
      <c r="F52" s="2" t="n">
        <v>3</v>
      </c>
      <c r="G52" s="2" t="n">
        <f aca="false">SUM(D52,F52)</f>
        <v>8</v>
      </c>
    </row>
    <row r="53" customFormat="false" ht="15.75" hidden="false" customHeight="false" outlineLevel="0" collapsed="false">
      <c r="A53" s="5" t="s">
        <v>53</v>
      </c>
      <c r="B53" s="2" t="n">
        <v>1</v>
      </c>
      <c r="C53" s="2" t="s">
        <v>91</v>
      </c>
      <c r="D53" s="2" t="n">
        <v>5</v>
      </c>
      <c r="E53" s="2" t="s">
        <v>87</v>
      </c>
      <c r="F53" s="2" t="n">
        <v>5</v>
      </c>
      <c r="G53" s="2" t="n">
        <f aca="false">SUM(D53,F53)</f>
        <v>10</v>
      </c>
    </row>
    <row r="54" customFormat="false" ht="15.75" hidden="false" customHeight="false" outlineLevel="0" collapsed="false">
      <c r="A54" s="5" t="s">
        <v>54</v>
      </c>
      <c r="B54" s="2" t="n">
        <v>1</v>
      </c>
      <c r="C54" s="2" t="s">
        <v>89</v>
      </c>
      <c r="D54" s="2" t="n">
        <v>5</v>
      </c>
      <c r="E54" s="2" t="s">
        <v>87</v>
      </c>
      <c r="F54" s="2" t="n">
        <v>5</v>
      </c>
      <c r="G54" s="2" t="n">
        <f aca="false">SUM(D54,F54)</f>
        <v>10</v>
      </c>
    </row>
    <row r="55" customFormat="false" ht="15.75" hidden="false" customHeight="false" outlineLevel="0" collapsed="false">
      <c r="A55" s="5" t="s">
        <v>55</v>
      </c>
      <c r="B55" s="2" t="n">
        <v>1</v>
      </c>
      <c r="C55" s="2" t="s">
        <v>91</v>
      </c>
      <c r="D55" s="2" t="n">
        <v>5</v>
      </c>
      <c r="E55" s="2" t="s">
        <v>87</v>
      </c>
      <c r="F55" s="2" t="n">
        <v>5</v>
      </c>
      <c r="G55" s="2" t="n">
        <f aca="false">SUM(D55,F55)</f>
        <v>10</v>
      </c>
    </row>
    <row r="56" customFormat="false" ht="15.75" hidden="false" customHeight="false" outlineLevel="0" collapsed="false">
      <c r="A56" s="5" t="s">
        <v>56</v>
      </c>
      <c r="B56" s="2" t="n">
        <v>1</v>
      </c>
      <c r="C56" s="2" t="s">
        <v>86</v>
      </c>
      <c r="D56" s="2" t="n">
        <v>4.5</v>
      </c>
      <c r="E56" s="2" t="s">
        <v>87</v>
      </c>
      <c r="F56" s="2" t="n">
        <v>4.8</v>
      </c>
      <c r="G56" s="2" t="n">
        <f aca="false">SUM(D56,F56)</f>
        <v>9.3</v>
      </c>
    </row>
    <row r="57" customFormat="false" ht="15.75" hidden="false" customHeight="false" outlineLevel="0" collapsed="false">
      <c r="A57" s="5" t="s">
        <v>57</v>
      </c>
      <c r="B57" s="2" t="n">
        <v>1</v>
      </c>
      <c r="C57" s="2" t="s">
        <v>89</v>
      </c>
      <c r="D57" s="2" t="n">
        <v>5</v>
      </c>
      <c r="E57" s="2" t="s">
        <v>87</v>
      </c>
      <c r="F57" s="2" t="n">
        <v>5</v>
      </c>
      <c r="G57" s="2" t="n">
        <f aca="false">SUM(D57,F57)</f>
        <v>10</v>
      </c>
    </row>
    <row r="58" customFormat="false" ht="15.75" hidden="false" customHeight="false" outlineLevel="0" collapsed="false">
      <c r="A58" s="5" t="s">
        <v>58</v>
      </c>
      <c r="B58" s="2" t="n">
        <v>1</v>
      </c>
      <c r="C58" s="2" t="s">
        <v>89</v>
      </c>
      <c r="D58" s="2" t="n">
        <v>5</v>
      </c>
      <c r="E58" s="2" t="s">
        <v>87</v>
      </c>
      <c r="F58" s="2" t="n">
        <v>5</v>
      </c>
      <c r="G58" s="2" t="n">
        <f aca="false">SUM(D58,F58)</f>
        <v>10</v>
      </c>
    </row>
    <row r="59" customFormat="false" ht="15.75" hidden="false" customHeight="false" outlineLevel="0" collapsed="false">
      <c r="A59" s="5" t="s">
        <v>59</v>
      </c>
      <c r="B59" s="2" t="n">
        <v>1</v>
      </c>
      <c r="C59" s="2" t="s">
        <v>88</v>
      </c>
      <c r="D59" s="2" t="n">
        <v>5</v>
      </c>
      <c r="E59" s="2" t="s">
        <v>87</v>
      </c>
      <c r="F59" s="2" t="n">
        <v>4.8</v>
      </c>
      <c r="G59" s="2" t="n">
        <f aca="false">SUM(D59,F59)</f>
        <v>9.8</v>
      </c>
    </row>
    <row r="60" customFormat="false" ht="15.75" hidden="false" customHeight="false" outlineLevel="0" collapsed="false">
      <c r="A60" s="5" t="s">
        <v>60</v>
      </c>
      <c r="B60" s="2" t="n">
        <v>1</v>
      </c>
      <c r="C60" s="2" t="s">
        <v>86</v>
      </c>
      <c r="D60" s="2" t="n">
        <v>4.5</v>
      </c>
      <c r="E60" s="2" t="s">
        <v>87</v>
      </c>
      <c r="F60" s="2" t="n">
        <v>5</v>
      </c>
      <c r="G60" s="2" t="n">
        <f aca="false">SUM(D60,F60)</f>
        <v>9.5</v>
      </c>
    </row>
    <row r="61" customFormat="false" ht="15.75" hidden="false" customHeight="false" outlineLevel="0" collapsed="false">
      <c r="A61" s="5" t="s">
        <v>61</v>
      </c>
      <c r="B61" s="2" t="n">
        <v>1</v>
      </c>
      <c r="C61" s="2" t="s">
        <v>90</v>
      </c>
      <c r="D61" s="2" t="n">
        <v>4</v>
      </c>
      <c r="E61" s="2" t="s">
        <v>87</v>
      </c>
      <c r="F61" s="2" t="n">
        <v>4.8</v>
      </c>
      <c r="G61" s="2" t="n">
        <f aca="false">SUM(D61,F61)</f>
        <v>8.8</v>
      </c>
    </row>
    <row r="62" customFormat="false" ht="15.75" hidden="false" customHeight="false" outlineLevel="0" collapsed="false">
      <c r="A62" s="5" t="s">
        <v>62</v>
      </c>
      <c r="B62" s="2" t="n">
        <v>1</v>
      </c>
      <c r="C62" s="2" t="s">
        <v>90</v>
      </c>
      <c r="D62" s="2" t="n">
        <v>4</v>
      </c>
      <c r="E62" s="2" t="s">
        <v>87</v>
      </c>
      <c r="F62" s="2" t="n">
        <v>5</v>
      </c>
      <c r="G62" s="2" t="n">
        <f aca="false">SUM(D62,F62)</f>
        <v>9</v>
      </c>
    </row>
    <row r="63" customFormat="false" ht="15.75" hidden="false" customHeight="false" outlineLevel="0" collapsed="false">
      <c r="A63" s="5" t="s">
        <v>63</v>
      </c>
      <c r="B63" s="2" t="n">
        <v>1</v>
      </c>
      <c r="C63" s="2" t="s">
        <v>88</v>
      </c>
      <c r="D63" s="2" t="n">
        <v>5</v>
      </c>
      <c r="E63" s="2" t="s">
        <v>87</v>
      </c>
      <c r="F63" s="2" t="n">
        <v>5</v>
      </c>
      <c r="G63" s="2" t="n">
        <f aca="false">SUM(D63,F63)</f>
        <v>10</v>
      </c>
    </row>
    <row r="64" customFormat="false" ht="15.75" hidden="false" customHeight="false" outlineLevel="0" collapsed="false">
      <c r="A64" s="5" t="s">
        <v>64</v>
      </c>
      <c r="B64" s="2" t="n">
        <v>0</v>
      </c>
      <c r="E64" s="2" t="n">
        <f aca="false">IF(B64=0,0,)</f>
        <v>0</v>
      </c>
      <c r="F64" s="2" t="n">
        <f aca="false">IF(B64=0,0,)</f>
        <v>0</v>
      </c>
      <c r="G64" s="2" t="n">
        <f aca="false">SUM(D64,F64)</f>
        <v>0</v>
      </c>
    </row>
    <row r="65" customFormat="false" ht="15.75" hidden="false" customHeight="false" outlineLevel="0" collapsed="false">
      <c r="A65" s="5" t="s">
        <v>65</v>
      </c>
      <c r="B65" s="2" t="n">
        <v>1</v>
      </c>
      <c r="C65" s="2" t="s">
        <v>91</v>
      </c>
      <c r="D65" s="2" t="n">
        <v>5</v>
      </c>
      <c r="E65" s="2" t="s">
        <v>87</v>
      </c>
      <c r="F65" s="2" t="n">
        <v>5</v>
      </c>
      <c r="G65" s="2" t="n">
        <f aca="false">SUM(D65,F65)</f>
        <v>10</v>
      </c>
    </row>
    <row r="66" customFormat="false" ht="15.75" hidden="false" customHeight="false" outlineLevel="0" collapsed="false">
      <c r="A66" s="5" t="s">
        <v>66</v>
      </c>
      <c r="B66" s="2" t="n">
        <v>1</v>
      </c>
      <c r="C66" s="2" t="s">
        <v>89</v>
      </c>
      <c r="D66" s="2" t="n">
        <v>5</v>
      </c>
      <c r="E66" s="2" t="s">
        <v>87</v>
      </c>
      <c r="F66" s="2" t="n">
        <v>4.5</v>
      </c>
      <c r="G66" s="2" t="n">
        <f aca="false">SUM(D66,F66)</f>
        <v>9.5</v>
      </c>
    </row>
    <row r="67" customFormat="false" ht="15.75" hidden="false" customHeight="false" outlineLevel="0" collapsed="false">
      <c r="A67" s="5" t="s">
        <v>67</v>
      </c>
      <c r="B67" s="2" t="n">
        <v>1</v>
      </c>
      <c r="C67" s="2" t="s">
        <v>86</v>
      </c>
      <c r="D67" s="2" t="n">
        <v>5</v>
      </c>
      <c r="E67" s="2" t="s">
        <v>87</v>
      </c>
      <c r="F67" s="2" t="n">
        <v>5</v>
      </c>
      <c r="G67" s="2" t="n">
        <f aca="false">SUM(D67,F67)</f>
        <v>10</v>
      </c>
    </row>
    <row r="68" customFormat="false" ht="15.75" hidden="false" customHeight="false" outlineLevel="0" collapsed="false">
      <c r="A68" s="5" t="s">
        <v>68</v>
      </c>
      <c r="B68" s="2" t="n">
        <v>1</v>
      </c>
      <c r="C68" s="2" t="s">
        <v>86</v>
      </c>
      <c r="D68" s="2" t="n">
        <v>4.5</v>
      </c>
      <c r="E68" s="2" t="s">
        <v>87</v>
      </c>
      <c r="F68" s="2" t="n">
        <v>4.5</v>
      </c>
      <c r="G68" s="2" t="n">
        <f aca="false">SUM(D68,F68)</f>
        <v>9</v>
      </c>
    </row>
    <row r="69" customFormat="false" ht="15.75" hidden="false" customHeight="false" outlineLevel="0" collapsed="false">
      <c r="A69" s="5" t="s">
        <v>69</v>
      </c>
      <c r="B69" s="2" t="n">
        <v>0</v>
      </c>
      <c r="E69" s="2" t="n">
        <f aca="false">IF(B69=0,0,)</f>
        <v>0</v>
      </c>
      <c r="F69" s="2" t="n">
        <f aca="false">IF(B69=0,0,)</f>
        <v>0</v>
      </c>
      <c r="G69" s="2" t="n">
        <f aca="false">SUM(D69,F69)</f>
        <v>0</v>
      </c>
    </row>
    <row r="70" customFormat="false" ht="15.75" hidden="false" customHeight="false" outlineLevel="0" collapsed="false">
      <c r="A70" s="5" t="s">
        <v>70</v>
      </c>
      <c r="B70" s="2" t="n">
        <v>1</v>
      </c>
      <c r="C70" s="2" t="s">
        <v>91</v>
      </c>
      <c r="D70" s="2" t="n">
        <v>5</v>
      </c>
      <c r="E70" s="2" t="s">
        <v>87</v>
      </c>
      <c r="F70" s="2" t="n">
        <v>5</v>
      </c>
      <c r="G70" s="2" t="n">
        <f aca="false">SUM(D70,F70)</f>
        <v>10</v>
      </c>
    </row>
    <row r="71" customFormat="false" ht="15.75" hidden="false" customHeight="false" outlineLevel="0" collapsed="false">
      <c r="A71" s="5" t="s">
        <v>71</v>
      </c>
      <c r="B71" s="2" t="n">
        <v>1</v>
      </c>
      <c r="C71" s="2" t="s">
        <v>89</v>
      </c>
      <c r="D71" s="2" t="n">
        <v>3</v>
      </c>
      <c r="E71" s="2" t="s">
        <v>87</v>
      </c>
      <c r="F71" s="2" t="n">
        <v>5</v>
      </c>
      <c r="G71" s="2" t="n">
        <f aca="false">SUM(D71,F71)</f>
        <v>8</v>
      </c>
    </row>
    <row r="72" customFormat="false" ht="15.75" hidden="false" customHeight="false" outlineLevel="0" collapsed="false">
      <c r="A72" s="5" t="s">
        <v>72</v>
      </c>
      <c r="B72" s="2" t="n">
        <v>1</v>
      </c>
      <c r="C72" s="2" t="s">
        <v>86</v>
      </c>
      <c r="D72" s="2" t="n">
        <v>4</v>
      </c>
      <c r="E72" s="2" t="s">
        <v>87</v>
      </c>
      <c r="F72" s="2" t="n">
        <v>5</v>
      </c>
      <c r="G72" s="2" t="n">
        <f aca="false">SUM(D72,F72)</f>
        <v>9</v>
      </c>
    </row>
    <row r="73" customFormat="false" ht="15.75" hidden="false" customHeight="false" outlineLevel="0" collapsed="false">
      <c r="A73" s="5" t="s">
        <v>73</v>
      </c>
      <c r="B73" s="2" t="n">
        <v>1</v>
      </c>
      <c r="C73" s="2" t="s">
        <v>88</v>
      </c>
      <c r="D73" s="2" t="n">
        <v>5</v>
      </c>
      <c r="E73" s="2" t="s">
        <v>87</v>
      </c>
      <c r="F73" s="2" t="n">
        <v>5</v>
      </c>
      <c r="G73" s="2" t="n">
        <f aca="false">SUM(D73,F73)</f>
        <v>10</v>
      </c>
    </row>
    <row r="74" customFormat="false" ht="15.75" hidden="false" customHeight="false" outlineLevel="0" collapsed="false">
      <c r="A74" s="5" t="s">
        <v>74</v>
      </c>
      <c r="B74" s="2" t="n">
        <v>1</v>
      </c>
      <c r="C74" s="2" t="s">
        <v>86</v>
      </c>
      <c r="D74" s="2" t="n">
        <v>5</v>
      </c>
      <c r="E74" s="2" t="s">
        <v>87</v>
      </c>
      <c r="F74" s="2" t="n">
        <v>5</v>
      </c>
      <c r="G74" s="2" t="n">
        <f aca="false">SUM(D74,F74)</f>
        <v>10</v>
      </c>
    </row>
    <row r="75" customFormat="false" ht="15.75" hidden="false" customHeight="false" outlineLevel="0" collapsed="false">
      <c r="A75" s="5" t="s">
        <v>75</v>
      </c>
      <c r="B75" s="2" t="n">
        <v>1</v>
      </c>
      <c r="C75" s="2" t="s">
        <v>86</v>
      </c>
      <c r="D75" s="2" t="n">
        <v>5</v>
      </c>
      <c r="E75" s="2" t="s">
        <v>87</v>
      </c>
      <c r="F75" s="2" t="n">
        <v>5</v>
      </c>
      <c r="G75" s="2" t="n">
        <f aca="false">SUM(D75,F75)</f>
        <v>10</v>
      </c>
    </row>
    <row r="76" customFormat="false" ht="15.75" hidden="false" customHeight="false" outlineLevel="0" collapsed="false">
      <c r="A76" s="5" t="s">
        <v>76</v>
      </c>
      <c r="B76" s="2" t="n">
        <v>1</v>
      </c>
      <c r="C76" s="2" t="s">
        <v>88</v>
      </c>
      <c r="D76" s="2" t="n">
        <v>5</v>
      </c>
      <c r="E76" s="2" t="s">
        <v>87</v>
      </c>
      <c r="F76" s="2" t="n">
        <v>5</v>
      </c>
      <c r="G76" s="2" t="n">
        <f aca="false">SUM(D76,F76)</f>
        <v>10</v>
      </c>
    </row>
    <row r="77" customFormat="false" ht="15.75" hidden="false" customHeight="false" outlineLevel="0" collapsed="false">
      <c r="A77" s="5" t="s">
        <v>77</v>
      </c>
      <c r="B77" s="2" t="n">
        <v>1</v>
      </c>
      <c r="C77" s="2" t="s">
        <v>89</v>
      </c>
      <c r="D77" s="2" t="n">
        <v>5</v>
      </c>
      <c r="E77" s="2" t="s">
        <v>87</v>
      </c>
      <c r="F77" s="2" t="n">
        <v>5</v>
      </c>
      <c r="G77" s="2" t="n">
        <f aca="false">SUM(D77,F77)</f>
        <v>10</v>
      </c>
    </row>
    <row r="78" customFormat="false" ht="15.75" hidden="false" customHeight="false" outlineLevel="0" collapsed="false">
      <c r="A78" s="5" t="s">
        <v>78</v>
      </c>
      <c r="B78" s="2" t="n">
        <v>1</v>
      </c>
      <c r="C78" s="2" t="s">
        <v>91</v>
      </c>
      <c r="D78" s="2" t="n">
        <v>5</v>
      </c>
      <c r="E78" s="2" t="s">
        <v>87</v>
      </c>
      <c r="F78" s="2" t="n">
        <v>4</v>
      </c>
      <c r="G78" s="2" t="n">
        <f aca="false">SUM(D78,F78)</f>
        <v>9</v>
      </c>
    </row>
    <row r="79" customFormat="false" ht="15.75" hidden="false" customHeight="false" outlineLevel="0" collapsed="false">
      <c r="A79" s="5" t="s">
        <v>79</v>
      </c>
      <c r="B79" s="2" t="n">
        <v>1</v>
      </c>
      <c r="C79" s="2" t="s">
        <v>89</v>
      </c>
      <c r="D79" s="2" t="n">
        <v>5</v>
      </c>
      <c r="E79" s="2" t="s">
        <v>87</v>
      </c>
      <c r="F79" s="2" t="n">
        <v>4</v>
      </c>
      <c r="G79" s="2" t="n">
        <f aca="false">SUM(D79,F79)</f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14" zoomScaleNormal="114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4.38"/>
    <col collapsed="false" customWidth="true" hidden="false" outlineLevel="0" max="2" min="2" style="1" width="12.75"/>
    <col collapsed="false" customWidth="true" hidden="false" outlineLevel="0" max="3" min="3" style="1" width="14.88"/>
    <col collapsed="false" customWidth="true" hidden="false" outlineLevel="0" max="4" min="4" style="1" width="13.88"/>
    <col collapsed="false" customWidth="true" hidden="false" outlineLevel="0" max="5" min="5" style="1" width="14.88"/>
  </cols>
  <sheetData>
    <row r="1" customFormat="false" ht="15.75" hidden="false" customHeight="false" outlineLevel="0" collapsed="false">
      <c r="A1" s="2" t="s">
        <v>0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94</v>
      </c>
      <c r="H1" s="2" t="s">
        <v>95</v>
      </c>
      <c r="I1" s="2" t="s">
        <v>85</v>
      </c>
    </row>
    <row r="2" customFormat="false" ht="15.75" hidden="false" customHeight="false" outlineLevel="0" collapsed="false">
      <c r="A2" s="3" t="s">
        <v>2</v>
      </c>
      <c r="B2" s="2" t="n">
        <v>0</v>
      </c>
      <c r="D2" s="2"/>
      <c r="E2" s="2"/>
      <c r="F2" s="2"/>
      <c r="H2" s="2"/>
      <c r="I2" s="2" t="n">
        <f aca="false">SUM(D2,F2,H2)</f>
        <v>0</v>
      </c>
    </row>
    <row r="3" customFormat="false" ht="15.75" hidden="false" customHeight="false" outlineLevel="0" collapsed="false">
      <c r="A3" s="5" t="s">
        <v>3</v>
      </c>
      <c r="B3" s="2" t="n">
        <v>1</v>
      </c>
      <c r="I3" s="2" t="n">
        <f aca="false">SUM(D3,F3,H3)</f>
        <v>0</v>
      </c>
    </row>
    <row r="4" customFormat="false" ht="15.75" hidden="false" customHeight="false" outlineLevel="0" collapsed="false">
      <c r="A4" s="5" t="s">
        <v>4</v>
      </c>
      <c r="B4" s="2" t="n">
        <v>0</v>
      </c>
      <c r="E4" s="2"/>
      <c r="I4" s="2" t="n">
        <f aca="false">SUM(D4,F4,H4)</f>
        <v>0</v>
      </c>
    </row>
    <row r="5" customFormat="false" ht="15.75" hidden="false" customHeight="false" outlineLevel="0" collapsed="false">
      <c r="A5" s="5" t="s">
        <v>5</v>
      </c>
      <c r="B5" s="2" t="n">
        <v>0</v>
      </c>
      <c r="I5" s="2" t="n">
        <f aca="false">SUM(D5,F5,H5)</f>
        <v>0</v>
      </c>
    </row>
    <row r="6" customFormat="false" ht="15.75" hidden="false" customHeight="false" outlineLevel="0" collapsed="false">
      <c r="A6" s="5" t="s">
        <v>6</v>
      </c>
      <c r="B6" s="2" t="n">
        <v>1</v>
      </c>
      <c r="I6" s="2" t="n">
        <f aca="false">SUM(D6,F6,H6)</f>
        <v>0</v>
      </c>
    </row>
    <row r="7" customFormat="false" ht="15.75" hidden="false" customHeight="false" outlineLevel="0" collapsed="false">
      <c r="A7" s="5" t="s">
        <v>7</v>
      </c>
      <c r="B7" s="2" t="n">
        <v>1</v>
      </c>
      <c r="I7" s="2" t="n">
        <f aca="false">SUM(D7,F7,H7)</f>
        <v>0</v>
      </c>
    </row>
    <row r="8" customFormat="false" ht="15.75" hidden="false" customHeight="false" outlineLevel="0" collapsed="false">
      <c r="A8" s="5" t="s">
        <v>8</v>
      </c>
      <c r="B8" s="2" t="n">
        <v>1</v>
      </c>
      <c r="I8" s="2" t="n">
        <f aca="false">SUM(D8,F8,H8)</f>
        <v>0</v>
      </c>
    </row>
    <row r="9" customFormat="false" ht="15.75" hidden="false" customHeight="false" outlineLevel="0" collapsed="false">
      <c r="A9" s="5" t="s">
        <v>9</v>
      </c>
      <c r="B9" s="2" t="n">
        <v>1</v>
      </c>
      <c r="I9" s="2" t="n">
        <f aca="false">SUM(D9,F9,H9)</f>
        <v>0</v>
      </c>
    </row>
    <row r="10" customFormat="false" ht="15.75" hidden="false" customHeight="false" outlineLevel="0" collapsed="false">
      <c r="A10" s="5" t="s">
        <v>10</v>
      </c>
      <c r="B10" s="2" t="n">
        <v>1</v>
      </c>
      <c r="I10" s="2" t="n">
        <f aca="false">SUM(D10,F10,H10)</f>
        <v>0</v>
      </c>
    </row>
    <row r="11" customFormat="false" ht="15.75" hidden="false" customHeight="false" outlineLevel="0" collapsed="false">
      <c r="A11" s="5" t="s">
        <v>11</v>
      </c>
      <c r="B11" s="2" t="n">
        <v>1</v>
      </c>
      <c r="I11" s="2" t="n">
        <f aca="false">SUM(D11,F11,H11)</f>
        <v>0</v>
      </c>
    </row>
    <row r="12" customFormat="false" ht="15.75" hidden="false" customHeight="false" outlineLevel="0" collapsed="false">
      <c r="A12" s="5" t="s">
        <v>12</v>
      </c>
      <c r="B12" s="2" t="n">
        <v>1</v>
      </c>
      <c r="I12" s="2" t="n">
        <f aca="false">SUM(D12,F12,H12)</f>
        <v>0</v>
      </c>
    </row>
    <row r="13" customFormat="false" ht="15.75" hidden="false" customHeight="false" outlineLevel="0" collapsed="false">
      <c r="A13" s="5" t="s">
        <v>13</v>
      </c>
      <c r="B13" s="2" t="n">
        <v>1</v>
      </c>
      <c r="I13" s="2" t="n">
        <f aca="false">SUM(D13,F13,H13)</f>
        <v>0</v>
      </c>
    </row>
    <row r="14" customFormat="false" ht="15.75" hidden="false" customHeight="false" outlineLevel="0" collapsed="false">
      <c r="A14" s="5" t="s">
        <v>14</v>
      </c>
      <c r="B14" s="2" t="n">
        <v>0</v>
      </c>
      <c r="I14" s="2" t="n">
        <f aca="false">SUM(D14,F14,H14)</f>
        <v>0</v>
      </c>
    </row>
    <row r="15" customFormat="false" ht="15.75" hidden="false" customHeight="false" outlineLevel="0" collapsed="false">
      <c r="A15" s="5" t="s">
        <v>15</v>
      </c>
      <c r="B15" s="2" t="n">
        <v>1</v>
      </c>
      <c r="I15" s="2" t="n">
        <f aca="false">SUM(D15,F15,H15)</f>
        <v>0</v>
      </c>
    </row>
    <row r="16" customFormat="false" ht="15.75" hidden="false" customHeight="false" outlineLevel="0" collapsed="false">
      <c r="A16" s="5" t="s">
        <v>16</v>
      </c>
      <c r="B16" s="2" t="n">
        <v>1</v>
      </c>
      <c r="I16" s="2" t="n">
        <f aca="false">SUM(D16,F16,H16)</f>
        <v>0</v>
      </c>
    </row>
    <row r="17" customFormat="false" ht="15.75" hidden="false" customHeight="false" outlineLevel="0" collapsed="false">
      <c r="A17" s="5" t="s">
        <v>17</v>
      </c>
      <c r="B17" s="2" t="n">
        <v>1</v>
      </c>
      <c r="I17" s="2" t="n">
        <f aca="false">SUM(D17,F17,H17)</f>
        <v>0</v>
      </c>
    </row>
    <row r="18" customFormat="false" ht="15.75" hidden="false" customHeight="false" outlineLevel="0" collapsed="false">
      <c r="A18" s="5" t="s">
        <v>18</v>
      </c>
      <c r="B18" s="2" t="n">
        <v>1</v>
      </c>
      <c r="I18" s="2" t="n">
        <f aca="false">SUM(D18,F18,H18)</f>
        <v>0</v>
      </c>
    </row>
    <row r="19" customFormat="false" ht="15.75" hidden="false" customHeight="false" outlineLevel="0" collapsed="false">
      <c r="A19" s="5" t="s">
        <v>19</v>
      </c>
      <c r="B19" s="2" t="n">
        <v>1</v>
      </c>
      <c r="I19" s="2" t="n">
        <f aca="false">SUM(D19,F19,H19)</f>
        <v>0</v>
      </c>
    </row>
    <row r="20" customFormat="false" ht="15.75" hidden="false" customHeight="false" outlineLevel="0" collapsed="false">
      <c r="A20" s="5" t="s">
        <v>20</v>
      </c>
      <c r="B20" s="2" t="n">
        <v>1</v>
      </c>
      <c r="I20" s="2" t="n">
        <f aca="false">SUM(D20,F20,H20)</f>
        <v>0</v>
      </c>
    </row>
    <row r="21" customFormat="false" ht="15.75" hidden="false" customHeight="false" outlineLevel="0" collapsed="false">
      <c r="A21" s="5" t="s">
        <v>21</v>
      </c>
      <c r="B21" s="2" t="n">
        <v>1</v>
      </c>
      <c r="I21" s="2" t="n">
        <f aca="false">SUM(D21,F21,H21)</f>
        <v>0</v>
      </c>
    </row>
    <row r="22" customFormat="false" ht="15.75" hidden="false" customHeight="false" outlineLevel="0" collapsed="false">
      <c r="A22" s="5" t="s">
        <v>22</v>
      </c>
      <c r="B22" s="2" t="n">
        <v>1</v>
      </c>
      <c r="I22" s="2" t="n">
        <f aca="false">SUM(D22,F22,H22)</f>
        <v>0</v>
      </c>
    </row>
    <row r="23" customFormat="false" ht="15.75" hidden="false" customHeight="false" outlineLevel="0" collapsed="false">
      <c r="A23" s="5" t="s">
        <v>23</v>
      </c>
      <c r="B23" s="2" t="n">
        <v>1</v>
      </c>
      <c r="I23" s="2" t="n">
        <f aca="false">SUM(D23,F23,H23)</f>
        <v>0</v>
      </c>
    </row>
    <row r="24" customFormat="false" ht="15.75" hidden="false" customHeight="false" outlineLevel="0" collapsed="false">
      <c r="A24" s="5" t="s">
        <v>24</v>
      </c>
      <c r="B24" s="2" t="n">
        <v>1</v>
      </c>
      <c r="I24" s="2" t="n">
        <f aca="false">SUM(D24,F24,H24)</f>
        <v>0</v>
      </c>
    </row>
    <row r="25" customFormat="false" ht="15.75" hidden="false" customHeight="false" outlineLevel="0" collapsed="false">
      <c r="A25" s="5" t="s">
        <v>25</v>
      </c>
      <c r="B25" s="2" t="n">
        <v>1</v>
      </c>
      <c r="I25" s="2" t="n">
        <f aca="false">SUM(D25,F25,H25)</f>
        <v>0</v>
      </c>
    </row>
    <row r="26" customFormat="false" ht="15.75" hidden="false" customHeight="false" outlineLevel="0" collapsed="false">
      <c r="A26" s="5" t="s">
        <v>26</v>
      </c>
      <c r="B26" s="2" t="n">
        <v>0</v>
      </c>
      <c r="I26" s="2" t="n">
        <f aca="false">SUM(D26,F26,H26)</f>
        <v>0</v>
      </c>
    </row>
    <row r="27" customFormat="false" ht="15.75" hidden="false" customHeight="false" outlineLevel="0" collapsed="false">
      <c r="A27" s="5" t="s">
        <v>27</v>
      </c>
      <c r="B27" s="2" t="n">
        <v>1</v>
      </c>
      <c r="I27" s="2" t="n">
        <f aca="false">SUM(D27,F27,H27)</f>
        <v>0</v>
      </c>
    </row>
    <row r="28" customFormat="false" ht="15.75" hidden="false" customHeight="false" outlineLevel="0" collapsed="false">
      <c r="A28" s="5" t="s">
        <v>28</v>
      </c>
      <c r="B28" s="2" t="n">
        <v>1</v>
      </c>
      <c r="I28" s="2" t="n">
        <f aca="false">SUM(D28,F28,H28)</f>
        <v>0</v>
      </c>
    </row>
    <row r="29" customFormat="false" ht="15.75" hidden="false" customHeight="false" outlineLevel="0" collapsed="false">
      <c r="A29" s="5" t="s">
        <v>29</v>
      </c>
      <c r="B29" s="2" t="n">
        <v>1</v>
      </c>
      <c r="I29" s="2" t="n">
        <f aca="false">SUM(D29,F29,H29)</f>
        <v>0</v>
      </c>
    </row>
    <row r="30" customFormat="false" ht="15.75" hidden="false" customHeight="false" outlineLevel="0" collapsed="false">
      <c r="A30" s="5" t="s">
        <v>30</v>
      </c>
      <c r="B30" s="2" t="n">
        <v>1</v>
      </c>
      <c r="I30" s="2" t="n">
        <f aca="false">SUM(D30,F30,H30)</f>
        <v>0</v>
      </c>
    </row>
    <row r="31" customFormat="false" ht="15.75" hidden="false" customHeight="false" outlineLevel="0" collapsed="false">
      <c r="A31" s="5" t="s">
        <v>31</v>
      </c>
      <c r="B31" s="2" t="n">
        <v>1</v>
      </c>
      <c r="I31" s="2" t="n">
        <f aca="false">SUM(D31,F31,H31)</f>
        <v>0</v>
      </c>
    </row>
    <row r="32" customFormat="false" ht="15.75" hidden="false" customHeight="false" outlineLevel="0" collapsed="false">
      <c r="A32" s="5" t="s">
        <v>32</v>
      </c>
      <c r="B32" s="2" t="n">
        <v>1</v>
      </c>
      <c r="I32" s="2" t="n">
        <f aca="false">SUM(D32,F32,H32)</f>
        <v>0</v>
      </c>
    </row>
    <row r="33" customFormat="false" ht="15.75" hidden="false" customHeight="false" outlineLevel="0" collapsed="false">
      <c r="A33" s="5" t="s">
        <v>33</v>
      </c>
      <c r="B33" s="2" t="n">
        <v>1</v>
      </c>
      <c r="I33" s="2" t="n">
        <f aca="false">SUM(D33,F33,H33)</f>
        <v>0</v>
      </c>
    </row>
    <row r="34" customFormat="false" ht="15.75" hidden="false" customHeight="false" outlineLevel="0" collapsed="false">
      <c r="A34" s="5" t="s">
        <v>34</v>
      </c>
      <c r="B34" s="2" t="n">
        <v>1</v>
      </c>
      <c r="I34" s="2" t="n">
        <f aca="false">SUM(D34,F34,H34)</f>
        <v>0</v>
      </c>
    </row>
    <row r="35" customFormat="false" ht="15.75" hidden="false" customHeight="false" outlineLevel="0" collapsed="false">
      <c r="A35" s="5" t="s">
        <v>35</v>
      </c>
      <c r="B35" s="2" t="n">
        <v>0</v>
      </c>
      <c r="I35" s="2" t="n">
        <f aca="false">SUM(D35,F35,H35)</f>
        <v>0</v>
      </c>
    </row>
    <row r="36" customFormat="false" ht="15.75" hidden="false" customHeight="false" outlineLevel="0" collapsed="false">
      <c r="A36" s="5" t="s">
        <v>36</v>
      </c>
      <c r="B36" s="2" t="n">
        <v>0</v>
      </c>
      <c r="I36" s="2" t="n">
        <f aca="false">SUM(D36,F36,H36)</f>
        <v>0</v>
      </c>
    </row>
    <row r="37" customFormat="false" ht="15.75" hidden="false" customHeight="false" outlineLevel="0" collapsed="false">
      <c r="A37" s="5" t="s">
        <v>37</v>
      </c>
      <c r="B37" s="2" t="n">
        <v>1</v>
      </c>
      <c r="I37" s="2" t="n">
        <f aca="false">SUM(D37,F37,H37)</f>
        <v>0</v>
      </c>
    </row>
    <row r="38" customFormat="false" ht="15.75" hidden="false" customHeight="false" outlineLevel="0" collapsed="false">
      <c r="A38" s="5" t="s">
        <v>38</v>
      </c>
      <c r="B38" s="2" t="n">
        <v>1</v>
      </c>
      <c r="I38" s="2" t="n">
        <f aca="false">SUM(D38,F38,H38)</f>
        <v>0</v>
      </c>
    </row>
    <row r="39" customFormat="false" ht="15.75" hidden="false" customHeight="false" outlineLevel="0" collapsed="false">
      <c r="A39" s="5" t="s">
        <v>39</v>
      </c>
      <c r="B39" s="2" t="n">
        <v>0</v>
      </c>
      <c r="I39" s="2" t="n">
        <f aca="false">SUM(D39,F39,H39)</f>
        <v>0</v>
      </c>
    </row>
    <row r="40" customFormat="false" ht="15.75" hidden="false" customHeight="false" outlineLevel="0" collapsed="false">
      <c r="A40" s="5" t="s">
        <v>40</v>
      </c>
      <c r="B40" s="2" t="n">
        <v>1</v>
      </c>
      <c r="I40" s="2" t="n">
        <f aca="false">SUM(D40,F40,H40)</f>
        <v>0</v>
      </c>
    </row>
    <row r="41" customFormat="false" ht="15.75" hidden="false" customHeight="false" outlineLevel="0" collapsed="false">
      <c r="A41" s="5" t="s">
        <v>41</v>
      </c>
      <c r="B41" s="2" t="n">
        <v>1</v>
      </c>
      <c r="I41" s="2" t="n">
        <f aca="false">SUM(D41,F41,H41)</f>
        <v>0</v>
      </c>
    </row>
    <row r="42" customFormat="false" ht="15.75" hidden="false" customHeight="false" outlineLevel="0" collapsed="false">
      <c r="A42" s="5" t="s">
        <v>42</v>
      </c>
      <c r="B42" s="2" t="n">
        <v>1</v>
      </c>
      <c r="I42" s="2" t="n">
        <f aca="false">SUM(D42,F42,H42)</f>
        <v>0</v>
      </c>
    </row>
    <row r="43" customFormat="false" ht="15.75" hidden="false" customHeight="false" outlineLevel="0" collapsed="false">
      <c r="A43" s="5" t="s">
        <v>43</v>
      </c>
      <c r="B43" s="2" t="n">
        <v>1</v>
      </c>
      <c r="I43" s="2" t="n">
        <f aca="false">SUM(D43,F43,H43)</f>
        <v>0</v>
      </c>
    </row>
    <row r="44" customFormat="false" ht="15.75" hidden="false" customHeight="false" outlineLevel="0" collapsed="false">
      <c r="A44" s="5" t="s">
        <v>44</v>
      </c>
      <c r="B44" s="2" t="n">
        <v>1</v>
      </c>
      <c r="I44" s="2" t="n">
        <f aca="false">SUM(D44,F44,H44)</f>
        <v>0</v>
      </c>
    </row>
    <row r="45" customFormat="false" ht="15.75" hidden="false" customHeight="false" outlineLevel="0" collapsed="false">
      <c r="A45" s="5" t="s">
        <v>45</v>
      </c>
      <c r="B45" s="2" t="n">
        <v>1</v>
      </c>
      <c r="I45" s="2" t="n">
        <f aca="false">SUM(D45,F45,H45)</f>
        <v>0</v>
      </c>
    </row>
    <row r="46" customFormat="false" ht="15.75" hidden="false" customHeight="false" outlineLevel="0" collapsed="false">
      <c r="A46" s="5" t="s">
        <v>46</v>
      </c>
      <c r="B46" s="2" t="n">
        <v>1</v>
      </c>
      <c r="I46" s="2" t="n">
        <f aca="false">SUM(D46,F46,H46)</f>
        <v>0</v>
      </c>
    </row>
    <row r="47" customFormat="false" ht="15.75" hidden="false" customHeight="false" outlineLevel="0" collapsed="false">
      <c r="A47" s="5" t="s">
        <v>47</v>
      </c>
      <c r="B47" s="2" t="n">
        <v>1</v>
      </c>
      <c r="I47" s="2" t="n">
        <f aca="false">SUM(D47,F47,H47)</f>
        <v>0</v>
      </c>
    </row>
    <row r="48" customFormat="false" ht="15.75" hidden="false" customHeight="false" outlineLevel="0" collapsed="false">
      <c r="A48" s="5" t="s">
        <v>48</v>
      </c>
      <c r="B48" s="2" t="n">
        <v>1</v>
      </c>
      <c r="I48" s="2" t="n">
        <f aca="false">SUM(D48,F48,H48)</f>
        <v>0</v>
      </c>
    </row>
    <row r="49" customFormat="false" ht="15.75" hidden="false" customHeight="false" outlineLevel="0" collapsed="false">
      <c r="A49" s="5" t="s">
        <v>49</v>
      </c>
      <c r="B49" s="2" t="n">
        <v>1</v>
      </c>
      <c r="I49" s="2" t="n">
        <f aca="false">SUM(D49,F49,H49)</f>
        <v>0</v>
      </c>
    </row>
    <row r="50" customFormat="false" ht="15.75" hidden="false" customHeight="false" outlineLevel="0" collapsed="false">
      <c r="A50" s="5" t="s">
        <v>50</v>
      </c>
      <c r="B50" s="2" t="n">
        <v>1</v>
      </c>
      <c r="I50" s="2" t="n">
        <f aca="false">SUM(D50,F50,H50)</f>
        <v>0</v>
      </c>
    </row>
    <row r="51" customFormat="false" ht="15.75" hidden="false" customHeight="false" outlineLevel="0" collapsed="false">
      <c r="A51" s="5" t="s">
        <v>51</v>
      </c>
      <c r="B51" s="2" t="n">
        <v>1</v>
      </c>
      <c r="I51" s="2" t="n">
        <f aca="false">SUM(D51,F51,H51)</f>
        <v>0</v>
      </c>
    </row>
    <row r="52" customFormat="false" ht="15.75" hidden="false" customHeight="false" outlineLevel="0" collapsed="false">
      <c r="A52" s="5" t="s">
        <v>52</v>
      </c>
      <c r="B52" s="2" t="n">
        <v>1</v>
      </c>
      <c r="I52" s="2" t="n">
        <f aca="false">SUM(D52,F52,H52)</f>
        <v>0</v>
      </c>
    </row>
    <row r="53" customFormat="false" ht="15.75" hidden="false" customHeight="false" outlineLevel="0" collapsed="false">
      <c r="A53" s="5" t="s">
        <v>53</v>
      </c>
      <c r="B53" s="2" t="n">
        <v>1</v>
      </c>
      <c r="I53" s="2" t="n">
        <f aca="false">SUM(D53,F53,H53)</f>
        <v>0</v>
      </c>
    </row>
    <row r="54" customFormat="false" ht="15.75" hidden="false" customHeight="false" outlineLevel="0" collapsed="false">
      <c r="A54" s="5" t="s">
        <v>54</v>
      </c>
      <c r="B54" s="2" t="n">
        <v>1</v>
      </c>
      <c r="I54" s="2" t="n">
        <f aca="false">SUM(D54,F54,H54)</f>
        <v>0</v>
      </c>
    </row>
    <row r="55" customFormat="false" ht="15.75" hidden="false" customHeight="false" outlineLevel="0" collapsed="false">
      <c r="A55" s="5" t="s">
        <v>55</v>
      </c>
      <c r="B55" s="2" t="n">
        <v>1</v>
      </c>
      <c r="I55" s="2" t="n">
        <f aca="false">SUM(D55,F55,H55)</f>
        <v>0</v>
      </c>
    </row>
    <row r="56" customFormat="false" ht="15.75" hidden="false" customHeight="false" outlineLevel="0" collapsed="false">
      <c r="A56" s="5" t="s">
        <v>56</v>
      </c>
      <c r="B56" s="2" t="n">
        <v>1</v>
      </c>
      <c r="I56" s="2" t="n">
        <f aca="false">SUM(D56,F56,H56)</f>
        <v>0</v>
      </c>
    </row>
    <row r="57" customFormat="false" ht="15.75" hidden="false" customHeight="false" outlineLevel="0" collapsed="false">
      <c r="A57" s="5" t="s">
        <v>57</v>
      </c>
      <c r="B57" s="2" t="n">
        <v>1</v>
      </c>
      <c r="I57" s="2" t="n">
        <f aca="false">SUM(D57,F57,H57)</f>
        <v>0</v>
      </c>
    </row>
    <row r="58" customFormat="false" ht="15.75" hidden="false" customHeight="false" outlineLevel="0" collapsed="false">
      <c r="A58" s="5" t="s">
        <v>58</v>
      </c>
      <c r="B58" s="2" t="n">
        <v>1</v>
      </c>
      <c r="I58" s="2" t="n">
        <f aca="false">SUM(D58,F58,H58)</f>
        <v>0</v>
      </c>
    </row>
    <row r="59" customFormat="false" ht="15.75" hidden="false" customHeight="false" outlineLevel="0" collapsed="false">
      <c r="A59" s="5" t="s">
        <v>59</v>
      </c>
      <c r="B59" s="2" t="n">
        <v>1</v>
      </c>
      <c r="I59" s="2" t="n">
        <f aca="false">SUM(D59,F59,H59)</f>
        <v>0</v>
      </c>
    </row>
    <row r="60" customFormat="false" ht="15.75" hidden="false" customHeight="false" outlineLevel="0" collapsed="false">
      <c r="A60" s="5" t="s">
        <v>60</v>
      </c>
      <c r="B60" s="2" t="n">
        <v>1</v>
      </c>
      <c r="I60" s="2" t="n">
        <f aca="false">SUM(D60,F60,H60)</f>
        <v>0</v>
      </c>
    </row>
    <row r="61" customFormat="false" ht="15.75" hidden="false" customHeight="false" outlineLevel="0" collapsed="false">
      <c r="A61" s="5" t="s">
        <v>61</v>
      </c>
      <c r="B61" s="2" t="n">
        <v>1</v>
      </c>
      <c r="I61" s="2" t="n">
        <f aca="false">SUM(D61,F61,H61)</f>
        <v>0</v>
      </c>
    </row>
    <row r="62" customFormat="false" ht="15.75" hidden="false" customHeight="false" outlineLevel="0" collapsed="false">
      <c r="A62" s="5" t="s">
        <v>62</v>
      </c>
      <c r="B62" s="2" t="n">
        <v>1</v>
      </c>
      <c r="I62" s="2" t="n">
        <f aca="false">SUM(D62,F62,H62)</f>
        <v>0</v>
      </c>
    </row>
    <row r="63" customFormat="false" ht="15.75" hidden="false" customHeight="false" outlineLevel="0" collapsed="false">
      <c r="A63" s="5" t="s">
        <v>63</v>
      </c>
      <c r="B63" s="2" t="n">
        <v>1</v>
      </c>
      <c r="I63" s="2" t="n">
        <f aca="false">SUM(D63,F63,H63)</f>
        <v>0</v>
      </c>
    </row>
    <row r="64" customFormat="false" ht="15.75" hidden="false" customHeight="false" outlineLevel="0" collapsed="false">
      <c r="A64" s="5" t="s">
        <v>64</v>
      </c>
      <c r="B64" s="2" t="n">
        <v>0</v>
      </c>
      <c r="I64" s="2" t="n">
        <f aca="false">SUM(D64,F64,H64)</f>
        <v>0</v>
      </c>
    </row>
    <row r="65" customFormat="false" ht="15.75" hidden="false" customHeight="false" outlineLevel="0" collapsed="false">
      <c r="A65" s="5" t="s">
        <v>65</v>
      </c>
      <c r="B65" s="2" t="n">
        <v>1</v>
      </c>
      <c r="I65" s="2" t="n">
        <f aca="false">SUM(D65,F65,H65)</f>
        <v>0</v>
      </c>
    </row>
    <row r="66" customFormat="false" ht="15.75" hidden="false" customHeight="false" outlineLevel="0" collapsed="false">
      <c r="A66" s="5" t="s">
        <v>66</v>
      </c>
      <c r="B66" s="2" t="n">
        <v>1</v>
      </c>
      <c r="I66" s="2" t="n">
        <f aca="false">SUM(D66,F66,H66)</f>
        <v>0</v>
      </c>
    </row>
    <row r="67" customFormat="false" ht="15.75" hidden="false" customHeight="false" outlineLevel="0" collapsed="false">
      <c r="A67" s="5" t="s">
        <v>67</v>
      </c>
      <c r="B67" s="2" t="n">
        <v>1</v>
      </c>
      <c r="I67" s="2" t="n">
        <f aca="false">SUM(D67,F67,H67)</f>
        <v>0</v>
      </c>
    </row>
    <row r="68" customFormat="false" ht="15.75" hidden="false" customHeight="false" outlineLevel="0" collapsed="false">
      <c r="A68" s="5" t="s">
        <v>68</v>
      </c>
      <c r="B68" s="2" t="n">
        <v>1</v>
      </c>
      <c r="I68" s="2" t="n">
        <f aca="false">SUM(D68,F68,H68)</f>
        <v>0</v>
      </c>
    </row>
    <row r="69" customFormat="false" ht="15.75" hidden="false" customHeight="false" outlineLevel="0" collapsed="false">
      <c r="A69" s="5" t="s">
        <v>69</v>
      </c>
      <c r="B69" s="2" t="n">
        <v>0</v>
      </c>
      <c r="I69" s="2" t="n">
        <f aca="false">SUM(D69,F69,H69)</f>
        <v>0</v>
      </c>
    </row>
    <row r="70" customFormat="false" ht="15.75" hidden="false" customHeight="false" outlineLevel="0" collapsed="false">
      <c r="A70" s="5" t="s">
        <v>70</v>
      </c>
      <c r="B70" s="2" t="n">
        <v>1</v>
      </c>
      <c r="I70" s="2" t="n">
        <f aca="false">SUM(D70,F70,H70)</f>
        <v>0</v>
      </c>
    </row>
    <row r="71" customFormat="false" ht="15.75" hidden="false" customHeight="false" outlineLevel="0" collapsed="false">
      <c r="A71" s="5" t="s">
        <v>71</v>
      </c>
      <c r="B71" s="2" t="n">
        <v>1</v>
      </c>
      <c r="I71" s="2" t="n">
        <f aca="false">SUM(D71,F71,H71)</f>
        <v>0</v>
      </c>
    </row>
    <row r="72" customFormat="false" ht="15.75" hidden="false" customHeight="false" outlineLevel="0" collapsed="false">
      <c r="A72" s="5" t="s">
        <v>72</v>
      </c>
      <c r="B72" s="2" t="n">
        <v>1</v>
      </c>
      <c r="I72" s="2" t="n">
        <f aca="false">SUM(D72,F72,H72)</f>
        <v>0</v>
      </c>
    </row>
    <row r="73" customFormat="false" ht="15.75" hidden="false" customHeight="false" outlineLevel="0" collapsed="false">
      <c r="A73" s="5" t="s">
        <v>73</v>
      </c>
      <c r="B73" s="2" t="n">
        <v>1</v>
      </c>
      <c r="I73" s="2" t="n">
        <f aca="false">SUM(D73,F73,H73)</f>
        <v>0</v>
      </c>
    </row>
    <row r="74" customFormat="false" ht="15.75" hidden="false" customHeight="false" outlineLevel="0" collapsed="false">
      <c r="A74" s="5" t="s">
        <v>74</v>
      </c>
      <c r="B74" s="2" t="n">
        <v>0</v>
      </c>
      <c r="I74" s="2" t="n">
        <f aca="false">SUM(D74,F74,H74)</f>
        <v>0</v>
      </c>
    </row>
    <row r="75" customFormat="false" ht="15.75" hidden="false" customHeight="false" outlineLevel="0" collapsed="false">
      <c r="A75" s="5" t="s">
        <v>75</v>
      </c>
      <c r="B75" s="2" t="n">
        <v>1</v>
      </c>
      <c r="I75" s="2" t="n">
        <f aca="false">SUM(D75,F75,H75)</f>
        <v>0</v>
      </c>
    </row>
    <row r="76" customFormat="false" ht="15.75" hidden="false" customHeight="false" outlineLevel="0" collapsed="false">
      <c r="A76" s="5" t="s">
        <v>76</v>
      </c>
      <c r="B76" s="2" t="n">
        <v>1</v>
      </c>
      <c r="I76" s="2" t="n">
        <f aca="false">SUM(D76,F76,H76)</f>
        <v>0</v>
      </c>
    </row>
    <row r="77" customFormat="false" ht="15.75" hidden="false" customHeight="false" outlineLevel="0" collapsed="false">
      <c r="A77" s="5" t="s">
        <v>77</v>
      </c>
      <c r="B77" s="2" t="n">
        <v>1</v>
      </c>
      <c r="I77" s="2" t="n">
        <f aca="false">SUM(D77,F77,H77)</f>
        <v>0</v>
      </c>
    </row>
    <row r="78" customFormat="false" ht="15.75" hidden="false" customHeight="false" outlineLevel="0" collapsed="false">
      <c r="A78" s="5" t="s">
        <v>78</v>
      </c>
      <c r="B78" s="2" t="n">
        <v>1</v>
      </c>
      <c r="I78" s="2" t="n">
        <f aca="false">SUM(D78,F78,H78)</f>
        <v>0</v>
      </c>
    </row>
    <row r="79" customFormat="false" ht="15.75" hidden="false" customHeight="false" outlineLevel="0" collapsed="false">
      <c r="A79" s="5" t="s">
        <v>79</v>
      </c>
      <c r="B79" s="2" t="n">
        <v>1</v>
      </c>
      <c r="I79" s="2" t="n">
        <f aca="false">SUM(D79,F79,H79)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46" colorId="64" zoomScale="114" zoomScaleNormal="114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3.63"/>
    <col collapsed="false" customWidth="true" hidden="false" outlineLevel="0" max="3" min="3" style="1" width="14.13"/>
  </cols>
  <sheetData>
    <row r="1" customFormat="false" ht="15.75" hidden="false" customHeight="false" outlineLevel="0" collapsed="false">
      <c r="A1" s="2" t="s">
        <v>0</v>
      </c>
      <c r="B1" s="2" t="s">
        <v>85</v>
      </c>
    </row>
    <row r="2" customFormat="false" ht="15.75" hidden="false" customHeight="false" outlineLevel="0" collapsed="false">
      <c r="A2" s="3" t="s">
        <v>2</v>
      </c>
      <c r="B2" s="2" t="n">
        <v>0</v>
      </c>
    </row>
    <row r="3" customFormat="false" ht="15.75" hidden="false" customHeight="false" outlineLevel="0" collapsed="false">
      <c r="A3" s="5" t="s">
        <v>3</v>
      </c>
      <c r="B3" s="2" t="n">
        <v>21</v>
      </c>
    </row>
    <row r="4" customFormat="false" ht="15.75" hidden="false" customHeight="false" outlineLevel="0" collapsed="false">
      <c r="A4" s="5" t="s">
        <v>4</v>
      </c>
      <c r="B4" s="2" t="n">
        <v>0</v>
      </c>
    </row>
    <row r="5" customFormat="false" ht="15.75" hidden="false" customHeight="false" outlineLevel="0" collapsed="false">
      <c r="A5" s="5" t="s">
        <v>5</v>
      </c>
      <c r="B5" s="2" t="n">
        <v>21</v>
      </c>
    </row>
    <row r="6" customFormat="false" ht="15.75" hidden="false" customHeight="false" outlineLevel="0" collapsed="false">
      <c r="A6" s="5" t="s">
        <v>6</v>
      </c>
      <c r="B6" s="2" t="n">
        <v>19</v>
      </c>
    </row>
    <row r="7" customFormat="false" ht="15.75" hidden="false" customHeight="false" outlineLevel="0" collapsed="false">
      <c r="A7" s="5" t="s">
        <v>7</v>
      </c>
      <c r="B7" s="2" t="n">
        <v>22</v>
      </c>
    </row>
    <row r="8" customFormat="false" ht="15.75" hidden="false" customHeight="false" outlineLevel="0" collapsed="false">
      <c r="A8" s="5" t="s">
        <v>8</v>
      </c>
      <c r="B8" s="2" t="n">
        <v>35</v>
      </c>
    </row>
    <row r="9" customFormat="false" ht="15.75" hidden="false" customHeight="false" outlineLevel="0" collapsed="false">
      <c r="A9" s="5" t="s">
        <v>9</v>
      </c>
      <c r="B9" s="2" t="n">
        <v>20</v>
      </c>
    </row>
    <row r="10" customFormat="false" ht="15.75" hidden="false" customHeight="false" outlineLevel="0" collapsed="false">
      <c r="A10" s="5" t="s">
        <v>10</v>
      </c>
      <c r="B10" s="2" t="n">
        <v>45</v>
      </c>
    </row>
    <row r="11" customFormat="false" ht="15.75" hidden="false" customHeight="false" outlineLevel="0" collapsed="false">
      <c r="A11" s="5" t="s">
        <v>11</v>
      </c>
      <c r="B11" s="2" t="n">
        <v>75</v>
      </c>
    </row>
    <row r="12" customFormat="false" ht="15.75" hidden="false" customHeight="false" outlineLevel="0" collapsed="false">
      <c r="A12" s="5" t="s">
        <v>12</v>
      </c>
      <c r="B12" s="2" t="n">
        <v>20</v>
      </c>
    </row>
    <row r="13" customFormat="false" ht="15.75" hidden="false" customHeight="false" outlineLevel="0" collapsed="false">
      <c r="A13" s="5" t="s">
        <v>13</v>
      </c>
      <c r="B13" s="2" t="n">
        <v>67</v>
      </c>
    </row>
    <row r="14" customFormat="false" ht="15.75" hidden="false" customHeight="false" outlineLevel="0" collapsed="false">
      <c r="A14" s="5" t="s">
        <v>14</v>
      </c>
      <c r="B14" s="2" t="n">
        <v>0</v>
      </c>
    </row>
    <row r="15" customFormat="false" ht="15.75" hidden="false" customHeight="false" outlineLevel="0" collapsed="false">
      <c r="A15" s="5" t="s">
        <v>15</v>
      </c>
      <c r="B15" s="2" t="n">
        <v>37</v>
      </c>
    </row>
    <row r="16" customFormat="false" ht="15.75" hidden="false" customHeight="false" outlineLevel="0" collapsed="false">
      <c r="A16" s="5" t="s">
        <v>16</v>
      </c>
      <c r="B16" s="2" t="n">
        <v>18</v>
      </c>
    </row>
    <row r="17" customFormat="false" ht="15.75" hidden="false" customHeight="false" outlineLevel="0" collapsed="false">
      <c r="A17" s="5" t="s">
        <v>17</v>
      </c>
      <c r="B17" s="2" t="n">
        <v>91</v>
      </c>
    </row>
    <row r="18" customFormat="false" ht="15.75" hidden="false" customHeight="false" outlineLevel="0" collapsed="false">
      <c r="A18" s="5" t="s">
        <v>18</v>
      </c>
      <c r="B18" s="2" t="n">
        <v>16</v>
      </c>
    </row>
    <row r="19" customFormat="false" ht="15.75" hidden="false" customHeight="false" outlineLevel="0" collapsed="false">
      <c r="A19" s="5" t="s">
        <v>19</v>
      </c>
      <c r="B19" s="2" t="n">
        <v>15</v>
      </c>
    </row>
    <row r="20" customFormat="false" ht="15.75" hidden="false" customHeight="false" outlineLevel="0" collapsed="false">
      <c r="A20" s="5" t="s">
        <v>20</v>
      </c>
      <c r="B20" s="2" t="n">
        <v>31</v>
      </c>
    </row>
    <row r="21" customFormat="false" ht="15.75" hidden="false" customHeight="false" outlineLevel="0" collapsed="false">
      <c r="A21" s="5" t="s">
        <v>21</v>
      </c>
      <c r="B21" s="2" t="n">
        <v>27</v>
      </c>
    </row>
    <row r="22" customFormat="false" ht="15.75" hidden="false" customHeight="false" outlineLevel="0" collapsed="false">
      <c r="A22" s="5" t="s">
        <v>22</v>
      </c>
      <c r="B22" s="2" t="n">
        <v>91</v>
      </c>
    </row>
    <row r="23" customFormat="false" ht="15.75" hidden="false" customHeight="false" outlineLevel="0" collapsed="false">
      <c r="A23" s="5" t="s">
        <v>23</v>
      </c>
      <c r="B23" s="2" t="n">
        <v>44</v>
      </c>
    </row>
    <row r="24" customFormat="false" ht="15.75" hidden="false" customHeight="false" outlineLevel="0" collapsed="false">
      <c r="A24" s="5" t="s">
        <v>24</v>
      </c>
      <c r="B24" s="2" t="n">
        <v>37</v>
      </c>
    </row>
    <row r="25" customFormat="false" ht="15.75" hidden="false" customHeight="false" outlineLevel="0" collapsed="false">
      <c r="A25" s="5" t="s">
        <v>25</v>
      </c>
      <c r="B25" s="2" t="n">
        <v>25</v>
      </c>
    </row>
    <row r="26" customFormat="false" ht="15.75" hidden="false" customHeight="false" outlineLevel="0" collapsed="false">
      <c r="A26" s="5" t="s">
        <v>26</v>
      </c>
      <c r="B26" s="2" t="n">
        <v>0</v>
      </c>
    </row>
    <row r="27" customFormat="false" ht="15.75" hidden="false" customHeight="false" outlineLevel="0" collapsed="false">
      <c r="A27" s="5" t="s">
        <v>27</v>
      </c>
      <c r="B27" s="2" t="n">
        <v>83</v>
      </c>
    </row>
    <row r="28" customFormat="false" ht="15.75" hidden="false" customHeight="false" outlineLevel="0" collapsed="false">
      <c r="A28" s="5" t="s">
        <v>28</v>
      </c>
      <c r="B28" s="2" t="n">
        <v>93</v>
      </c>
    </row>
    <row r="29" customFormat="false" ht="15.75" hidden="false" customHeight="false" outlineLevel="0" collapsed="false">
      <c r="A29" s="5" t="s">
        <v>96</v>
      </c>
      <c r="B29" s="2" t="n">
        <v>15</v>
      </c>
    </row>
    <row r="30" customFormat="false" ht="15.75" hidden="false" customHeight="false" outlineLevel="0" collapsed="false">
      <c r="A30" s="5" t="s">
        <v>30</v>
      </c>
      <c r="B30" s="2" t="n">
        <v>43</v>
      </c>
    </row>
    <row r="31" customFormat="false" ht="15.75" hidden="false" customHeight="false" outlineLevel="0" collapsed="false">
      <c r="A31" s="5" t="s">
        <v>31</v>
      </c>
      <c r="B31" s="2" t="n">
        <v>48</v>
      </c>
    </row>
    <row r="32" customFormat="false" ht="15.75" hidden="false" customHeight="false" outlineLevel="0" collapsed="false">
      <c r="A32" s="5" t="s">
        <v>32</v>
      </c>
      <c r="B32" s="2" t="n">
        <v>26</v>
      </c>
    </row>
    <row r="33" customFormat="false" ht="15.75" hidden="false" customHeight="false" outlineLevel="0" collapsed="false">
      <c r="A33" s="5" t="s">
        <v>33</v>
      </c>
      <c r="B33" s="2" t="n">
        <v>34</v>
      </c>
    </row>
    <row r="34" customFormat="false" ht="15.75" hidden="false" customHeight="false" outlineLevel="0" collapsed="false">
      <c r="A34" s="5" t="s">
        <v>34</v>
      </c>
      <c r="B34" s="2" t="n">
        <v>36</v>
      </c>
    </row>
    <row r="35" customFormat="false" ht="15.75" hidden="false" customHeight="false" outlineLevel="0" collapsed="false">
      <c r="A35" s="5" t="s">
        <v>35</v>
      </c>
      <c r="B35" s="2" t="n">
        <v>0</v>
      </c>
    </row>
    <row r="36" customFormat="false" ht="15.75" hidden="false" customHeight="false" outlineLevel="0" collapsed="false">
      <c r="A36" s="5" t="s">
        <v>36</v>
      </c>
      <c r="B36" s="2" t="n">
        <v>50</v>
      </c>
    </row>
    <row r="37" customFormat="false" ht="15.75" hidden="false" customHeight="false" outlineLevel="0" collapsed="false">
      <c r="A37" s="5" t="s">
        <v>37</v>
      </c>
      <c r="B37" s="2" t="n">
        <v>20</v>
      </c>
    </row>
    <row r="38" customFormat="false" ht="15.75" hidden="false" customHeight="false" outlineLevel="0" collapsed="false">
      <c r="A38" s="5" t="s">
        <v>38</v>
      </c>
      <c r="B38" s="2" t="n">
        <v>88</v>
      </c>
    </row>
    <row r="39" customFormat="false" ht="15.75" hidden="false" customHeight="false" outlineLevel="0" collapsed="false">
      <c r="A39" s="5" t="s">
        <v>39</v>
      </c>
      <c r="B39" s="2" t="n">
        <v>24</v>
      </c>
    </row>
    <row r="40" customFormat="false" ht="15.75" hidden="false" customHeight="false" outlineLevel="0" collapsed="false">
      <c r="A40" s="5" t="s">
        <v>40</v>
      </c>
      <c r="B40" s="2" t="n">
        <v>76</v>
      </c>
    </row>
    <row r="41" customFormat="false" ht="15.75" hidden="false" customHeight="false" outlineLevel="0" collapsed="false">
      <c r="A41" s="5" t="s">
        <v>41</v>
      </c>
      <c r="B41" s="2" t="n">
        <v>42</v>
      </c>
    </row>
    <row r="42" customFormat="false" ht="15.75" hidden="false" customHeight="false" outlineLevel="0" collapsed="false">
      <c r="A42" s="5" t="s">
        <v>42</v>
      </c>
      <c r="B42" s="2" t="n">
        <v>95</v>
      </c>
    </row>
    <row r="43" customFormat="false" ht="15.75" hidden="false" customHeight="false" outlineLevel="0" collapsed="false">
      <c r="A43" s="5" t="s">
        <v>43</v>
      </c>
      <c r="B43" s="2" t="n">
        <v>30</v>
      </c>
    </row>
    <row r="44" customFormat="false" ht="15.75" hidden="false" customHeight="false" outlineLevel="0" collapsed="false">
      <c r="A44" s="5" t="s">
        <v>44</v>
      </c>
      <c r="B44" s="2" t="n">
        <v>56</v>
      </c>
    </row>
    <row r="45" customFormat="false" ht="15.75" hidden="false" customHeight="false" outlineLevel="0" collapsed="false">
      <c r="A45" s="5" t="s">
        <v>45</v>
      </c>
      <c r="B45" s="2" t="n">
        <v>31</v>
      </c>
    </row>
    <row r="46" customFormat="false" ht="15.75" hidden="false" customHeight="false" outlineLevel="0" collapsed="false">
      <c r="A46" s="5" t="s">
        <v>46</v>
      </c>
      <c r="B46" s="2" t="n">
        <v>49</v>
      </c>
    </row>
    <row r="47" customFormat="false" ht="15.75" hidden="false" customHeight="false" outlineLevel="0" collapsed="false">
      <c r="A47" s="5" t="s">
        <v>47</v>
      </c>
      <c r="B47" s="2" t="n">
        <v>79</v>
      </c>
    </row>
    <row r="48" customFormat="false" ht="15.75" hidden="false" customHeight="false" outlineLevel="0" collapsed="false">
      <c r="A48" s="5" t="s">
        <v>48</v>
      </c>
      <c r="B48" s="2" t="n">
        <v>12</v>
      </c>
    </row>
    <row r="49" customFormat="false" ht="15.75" hidden="false" customHeight="false" outlineLevel="0" collapsed="false">
      <c r="A49" s="5" t="s">
        <v>49</v>
      </c>
      <c r="B49" s="2" t="n">
        <v>22</v>
      </c>
    </row>
    <row r="50" customFormat="false" ht="15.75" hidden="false" customHeight="false" outlineLevel="0" collapsed="false">
      <c r="A50" s="5" t="s">
        <v>50</v>
      </c>
      <c r="B50" s="2" t="n">
        <v>45</v>
      </c>
    </row>
    <row r="51" customFormat="false" ht="15.75" hidden="false" customHeight="false" outlineLevel="0" collapsed="false">
      <c r="A51" s="5" t="s">
        <v>51</v>
      </c>
      <c r="B51" s="2" t="n">
        <v>41</v>
      </c>
    </row>
    <row r="52" customFormat="false" ht="15.75" hidden="false" customHeight="false" outlineLevel="0" collapsed="false">
      <c r="A52" s="5" t="s">
        <v>52</v>
      </c>
      <c r="B52" s="2" t="n">
        <v>20</v>
      </c>
    </row>
    <row r="53" customFormat="false" ht="15.75" hidden="false" customHeight="false" outlineLevel="0" collapsed="false">
      <c r="A53" s="5" t="s">
        <v>53</v>
      </c>
      <c r="B53" s="2" t="n">
        <v>18</v>
      </c>
    </row>
    <row r="54" customFormat="false" ht="15.75" hidden="false" customHeight="false" outlineLevel="0" collapsed="false">
      <c r="A54" s="5" t="s">
        <v>54</v>
      </c>
      <c r="B54" s="2" t="n">
        <v>43</v>
      </c>
    </row>
    <row r="55" customFormat="false" ht="15.75" hidden="false" customHeight="false" outlineLevel="0" collapsed="false">
      <c r="A55" s="5" t="s">
        <v>55</v>
      </c>
      <c r="B55" s="2" t="n">
        <v>64</v>
      </c>
    </row>
    <row r="56" customFormat="false" ht="15.75" hidden="false" customHeight="false" outlineLevel="0" collapsed="false">
      <c r="A56" s="5" t="s">
        <v>56</v>
      </c>
      <c r="B56" s="2" t="n">
        <v>48</v>
      </c>
    </row>
    <row r="57" customFormat="false" ht="15.75" hidden="false" customHeight="false" outlineLevel="0" collapsed="false">
      <c r="A57" s="5" t="s">
        <v>57</v>
      </c>
      <c r="B57" s="2" t="n">
        <v>44</v>
      </c>
    </row>
    <row r="58" customFormat="false" ht="15.75" hidden="false" customHeight="false" outlineLevel="0" collapsed="false">
      <c r="A58" s="5" t="s">
        <v>58</v>
      </c>
      <c r="B58" s="2" t="n">
        <v>61</v>
      </c>
    </row>
    <row r="59" customFormat="false" ht="15.75" hidden="false" customHeight="false" outlineLevel="0" collapsed="false">
      <c r="A59" s="5" t="s">
        <v>59</v>
      </c>
      <c r="B59" s="2" t="n">
        <v>44</v>
      </c>
    </row>
    <row r="60" customFormat="false" ht="15.75" hidden="false" customHeight="false" outlineLevel="0" collapsed="false">
      <c r="A60" s="5" t="s">
        <v>60</v>
      </c>
      <c r="B60" s="2" t="n">
        <v>28</v>
      </c>
    </row>
    <row r="61" customFormat="false" ht="15.75" hidden="false" customHeight="false" outlineLevel="0" collapsed="false">
      <c r="A61" s="5" t="s">
        <v>61</v>
      </c>
      <c r="B61" s="2" t="n">
        <v>65</v>
      </c>
    </row>
    <row r="62" customFormat="false" ht="15.75" hidden="false" customHeight="false" outlineLevel="0" collapsed="false">
      <c r="A62" s="5" t="s">
        <v>62</v>
      </c>
      <c r="B62" s="2" t="n">
        <v>68</v>
      </c>
    </row>
    <row r="63" customFormat="false" ht="15.75" hidden="false" customHeight="false" outlineLevel="0" collapsed="false">
      <c r="A63" s="5" t="s">
        <v>63</v>
      </c>
      <c r="B63" s="2" t="n">
        <v>34</v>
      </c>
    </row>
    <row r="64" customFormat="false" ht="15.75" hidden="false" customHeight="false" outlineLevel="0" collapsed="false">
      <c r="A64" s="5" t="s">
        <v>64</v>
      </c>
      <c r="B64" s="2" t="n">
        <v>0</v>
      </c>
    </row>
    <row r="65" customFormat="false" ht="15.75" hidden="false" customHeight="false" outlineLevel="0" collapsed="false">
      <c r="A65" s="5" t="s">
        <v>65</v>
      </c>
      <c r="B65" s="2" t="n">
        <v>88</v>
      </c>
    </row>
    <row r="66" customFormat="false" ht="15.75" hidden="false" customHeight="false" outlineLevel="0" collapsed="false">
      <c r="A66" s="5" t="s">
        <v>66</v>
      </c>
      <c r="B66" s="2" t="n">
        <v>17</v>
      </c>
    </row>
    <row r="67" customFormat="false" ht="15.75" hidden="false" customHeight="false" outlineLevel="0" collapsed="false">
      <c r="A67" s="5" t="s">
        <v>67</v>
      </c>
      <c r="B67" s="2" t="n">
        <v>57</v>
      </c>
    </row>
    <row r="68" customFormat="false" ht="15.75" hidden="false" customHeight="false" outlineLevel="0" collapsed="false">
      <c r="A68" s="5" t="s">
        <v>68</v>
      </c>
      <c r="B68" s="2" t="n">
        <v>0</v>
      </c>
    </row>
    <row r="69" customFormat="false" ht="15.75" hidden="false" customHeight="false" outlineLevel="0" collapsed="false">
      <c r="A69" s="5" t="s">
        <v>69</v>
      </c>
      <c r="B69" s="2" t="n">
        <v>0</v>
      </c>
    </row>
    <row r="70" customFormat="false" ht="15.75" hidden="false" customHeight="false" outlineLevel="0" collapsed="false">
      <c r="A70" s="5" t="s">
        <v>70</v>
      </c>
      <c r="B70" s="2" t="n">
        <v>0</v>
      </c>
    </row>
    <row r="71" customFormat="false" ht="15.75" hidden="false" customHeight="false" outlineLevel="0" collapsed="false">
      <c r="A71" s="5" t="s">
        <v>71</v>
      </c>
      <c r="B71" s="2" t="n">
        <v>26</v>
      </c>
    </row>
    <row r="72" customFormat="false" ht="15.75" hidden="false" customHeight="false" outlineLevel="0" collapsed="false">
      <c r="A72" s="5" t="s">
        <v>72</v>
      </c>
      <c r="B72" s="2" t="n">
        <v>51</v>
      </c>
    </row>
    <row r="73" customFormat="false" ht="15.75" hidden="false" customHeight="false" outlineLevel="0" collapsed="false">
      <c r="A73" s="5" t="s">
        <v>73</v>
      </c>
      <c r="B73" s="2" t="n">
        <v>39</v>
      </c>
    </row>
    <row r="74" customFormat="false" ht="15.75" hidden="false" customHeight="false" outlineLevel="0" collapsed="false">
      <c r="A74" s="5" t="s">
        <v>74</v>
      </c>
      <c r="B74" s="2" t="n">
        <v>0</v>
      </c>
    </row>
    <row r="75" customFormat="false" ht="15.75" hidden="false" customHeight="false" outlineLevel="0" collapsed="false">
      <c r="A75" s="5" t="s">
        <v>75</v>
      </c>
      <c r="B75" s="2" t="n">
        <v>64</v>
      </c>
    </row>
    <row r="76" customFormat="false" ht="15.75" hidden="false" customHeight="false" outlineLevel="0" collapsed="false">
      <c r="A76" s="5" t="s">
        <v>76</v>
      </c>
      <c r="B76" s="2" t="n">
        <v>27</v>
      </c>
    </row>
    <row r="77" customFormat="false" ht="15.75" hidden="false" customHeight="false" outlineLevel="0" collapsed="false">
      <c r="A77" s="5" t="s">
        <v>77</v>
      </c>
      <c r="B77" s="2" t="n">
        <v>75</v>
      </c>
    </row>
    <row r="78" customFormat="false" ht="15.75" hidden="false" customHeight="false" outlineLevel="0" collapsed="false">
      <c r="A78" s="5" t="s">
        <v>78</v>
      </c>
      <c r="B78" s="2" t="n">
        <v>29</v>
      </c>
    </row>
    <row r="79" customFormat="false" ht="15.75" hidden="false" customHeight="false" outlineLevel="0" collapsed="false">
      <c r="A79" s="5" t="s">
        <v>79</v>
      </c>
      <c r="B79" s="2" t="n">
        <v>42</v>
      </c>
    </row>
    <row r="80" customFormat="false" ht="15.75" hidden="false" customHeight="false" outlineLevel="0" collapsed="false">
      <c r="A80" s="2" t="s">
        <v>97</v>
      </c>
      <c r="B80" s="2" t="n">
        <f aca="false">AVERAGE(B2:B79)</f>
        <v>38.0384615384615</v>
      </c>
    </row>
    <row r="81" customFormat="false" ht="15.75" hidden="false" customHeight="false" outlineLevel="0" collapsed="false">
      <c r="A81" s="2" t="s">
        <v>98</v>
      </c>
      <c r="B81" s="2" t="n">
        <f aca="false">STDEV(B2:B79)</f>
        <v>26.1560960130016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false" showOutlineSymbols="true" defaultGridColor="true" view="normal" topLeftCell="G46" colorId="64" zoomScale="114" zoomScaleNormal="114" zoomScalePageLayoutView="100" workbookViewId="0">
      <selection pane="topLeft" activeCell="L38" activeCellId="0" sqref="L3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4" style="1" width="14.75"/>
    <col collapsed="false" customWidth="true" hidden="false" outlineLevel="0" max="7" min="7" style="1" width="22.13"/>
    <col collapsed="false" customWidth="true" hidden="false" outlineLevel="0" max="12" min="12" style="1" width="25.25"/>
  </cols>
  <sheetData>
    <row r="1" customFormat="false" ht="15.75" hidden="false" customHeight="false" outlineLevel="0" collapsed="false">
      <c r="A1" s="2" t="s">
        <v>0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  <c r="K1" s="2" t="s">
        <v>108</v>
      </c>
      <c r="L1" s="2" t="s">
        <v>109</v>
      </c>
    </row>
    <row r="2" customFormat="false" ht="15.75" hidden="false" customHeight="false" outlineLevel="0" collapsed="false">
      <c r="A2" s="7" t="s">
        <v>2</v>
      </c>
      <c r="B2" s="2" t="n">
        <f aca="false">'Teste 1'!B2</f>
        <v>0</v>
      </c>
      <c r="C2" s="2" t="n">
        <f aca="false">'Teste 2'!B2</f>
        <v>0</v>
      </c>
      <c r="D2" s="2" t="n">
        <f aca="false">SUM(B2:C2)/2</f>
        <v>0</v>
      </c>
      <c r="E2" s="2" t="n">
        <f aca="false">'Lista 1'!B2</f>
        <v>0</v>
      </c>
      <c r="F2" s="2" t="n">
        <f aca="false">'Lista 2'!B2</f>
        <v>0</v>
      </c>
      <c r="G2" s="2" t="n">
        <f aca="false">SUM(E2:F2)*5</f>
        <v>0</v>
      </c>
      <c r="H2" s="2" t="n">
        <f aca="false">'Lista 1'!G2</f>
        <v>0</v>
      </c>
      <c r="I2" s="2" t="n">
        <v>0</v>
      </c>
      <c r="J2" s="2" t="n">
        <f aca="false">SUM(H2:I2)/2</f>
        <v>0</v>
      </c>
      <c r="K2" s="2" t="n">
        <f aca="false">'Prova 1'!B2/10</f>
        <v>0</v>
      </c>
      <c r="L2" s="8" t="n">
        <v>0</v>
      </c>
    </row>
    <row r="3" customFormat="false" ht="15.75" hidden="false" customHeight="false" outlineLevel="0" collapsed="false">
      <c r="A3" s="9" t="s">
        <v>3</v>
      </c>
      <c r="B3" s="2" t="n">
        <f aca="false">'Teste 1'!B3</f>
        <v>10</v>
      </c>
      <c r="C3" s="2" t="n">
        <f aca="false">'Teste 2'!B3</f>
        <v>10</v>
      </c>
      <c r="D3" s="2" t="n">
        <f aca="false">SUM(B3:C3)/2</f>
        <v>10</v>
      </c>
      <c r="E3" s="2" t="n">
        <f aca="false">'Lista 1'!B3</f>
        <v>1</v>
      </c>
      <c r="F3" s="2" t="n">
        <f aca="false">'Lista 2'!B3</f>
        <v>1</v>
      </c>
      <c r="G3" s="2" t="n">
        <f aca="false">SUM(E3:F3)*5</f>
        <v>10</v>
      </c>
      <c r="H3" s="2" t="n">
        <f aca="false">'Lista 1'!G3</f>
        <v>10</v>
      </c>
      <c r="I3" s="2" t="n">
        <f aca="false">10</f>
        <v>10</v>
      </c>
      <c r="J3" s="2" t="n">
        <f aca="false">SUM(H3:I3)/2</f>
        <v>10</v>
      </c>
      <c r="K3" s="2" t="n">
        <f aca="false">'Prova 1'!B3/10</f>
        <v>2.1</v>
      </c>
      <c r="L3" s="10" t="n">
        <f aca="false">_xlfn.FLOOR.MATH(10*((SUM(D3*0.2,G3*0.05,J3*0.05,K3)*(6/5))*(20/43) + (138/43)))/10</f>
        <v>6</v>
      </c>
    </row>
    <row r="4" customFormat="false" ht="15.75" hidden="false" customHeight="false" outlineLevel="0" collapsed="false">
      <c r="A4" s="9" t="s">
        <v>4</v>
      </c>
      <c r="B4" s="2" t="n">
        <f aca="false">'Teste 1'!B4</f>
        <v>0</v>
      </c>
      <c r="C4" s="2" t="n">
        <f aca="false">'Teste 2'!B4</f>
        <v>0</v>
      </c>
      <c r="D4" s="2" t="n">
        <f aca="false">SUM(B4:C4)/2</f>
        <v>0</v>
      </c>
      <c r="E4" s="2" t="n">
        <f aca="false">'Lista 1'!B4</f>
        <v>0</v>
      </c>
      <c r="F4" s="2" t="n">
        <f aca="false">'Lista 2'!B4</f>
        <v>0</v>
      </c>
      <c r="G4" s="2" t="n">
        <f aca="false">SUM(E4:F4)*5</f>
        <v>0</v>
      </c>
      <c r="H4" s="2" t="n">
        <f aca="false">'Lista 1'!G4</f>
        <v>0</v>
      </c>
      <c r="I4" s="2" t="n">
        <v>0</v>
      </c>
      <c r="J4" s="2" t="n">
        <f aca="false">SUM(H4:I4)/2</f>
        <v>0</v>
      </c>
      <c r="K4" s="2" t="n">
        <f aca="false">'Prova 1'!B4/10</f>
        <v>0</v>
      </c>
      <c r="L4" s="8" t="n">
        <v>0</v>
      </c>
    </row>
    <row r="5" customFormat="false" ht="15.75" hidden="false" customHeight="false" outlineLevel="0" collapsed="false">
      <c r="A5" s="9" t="s">
        <v>5</v>
      </c>
      <c r="B5" s="2" t="n">
        <f aca="false">'Teste 1'!B5</f>
        <v>1</v>
      </c>
      <c r="C5" s="2" t="n">
        <f aca="false">'Teste 2'!B5</f>
        <v>7.5</v>
      </c>
      <c r="D5" s="2" t="n">
        <f aca="false">SUM(B5:C5)/2</f>
        <v>4.25</v>
      </c>
      <c r="E5" s="2" t="n">
        <f aca="false">'Lista 1'!B5</f>
        <v>1</v>
      </c>
      <c r="F5" s="2" t="n">
        <f aca="false">'Lista 2'!B5</f>
        <v>0</v>
      </c>
      <c r="G5" s="2" t="n">
        <f aca="false">SUM(E5:F5)*5</f>
        <v>5</v>
      </c>
      <c r="H5" s="2" t="n">
        <f aca="false">'Lista 1'!G5</f>
        <v>9.8</v>
      </c>
      <c r="I5" s="2" t="n">
        <v>0</v>
      </c>
      <c r="J5" s="2" t="n">
        <f aca="false">SUM(H5:I5)/2</f>
        <v>4.9</v>
      </c>
      <c r="K5" s="2" t="n">
        <f aca="false">'Prova 1'!B5/10</f>
        <v>2.1</v>
      </c>
      <c r="L5" s="8" t="n">
        <f aca="false">_xlfn.FLOOR.MATH(10*((SUM(D5*0.2,G5*0.05,J5*0.05,K5)*(6/5))*(20/43) + (138/43)))/10</f>
        <v>5.1</v>
      </c>
    </row>
    <row r="6" customFormat="false" ht="15.75" hidden="false" customHeight="false" outlineLevel="0" collapsed="false">
      <c r="A6" s="9" t="s">
        <v>6</v>
      </c>
      <c r="B6" s="2" t="n">
        <f aca="false">'Teste 1'!B6</f>
        <v>9</v>
      </c>
      <c r="C6" s="2" t="n">
        <f aca="false">'Teste 2'!B6</f>
        <v>9</v>
      </c>
      <c r="D6" s="2" t="n">
        <f aca="false">SUM(B6:C6)/2</f>
        <v>9</v>
      </c>
      <c r="E6" s="2" t="n">
        <f aca="false">'Lista 1'!B6</f>
        <v>1</v>
      </c>
      <c r="F6" s="2" t="n">
        <f aca="false">'Lista 2'!B6</f>
        <v>1</v>
      </c>
      <c r="G6" s="2" t="n">
        <f aca="false">SUM(E6:F6)*5</f>
        <v>10</v>
      </c>
      <c r="H6" s="2" t="n">
        <f aca="false">'Lista 1'!G6</f>
        <v>10</v>
      </c>
      <c r="I6" s="2" t="n">
        <f aca="false">10</f>
        <v>10</v>
      </c>
      <c r="J6" s="2" t="n">
        <f aca="false">SUM(H6:I6)/2</f>
        <v>10</v>
      </c>
      <c r="K6" s="2" t="n">
        <f aca="false">'Prova 1'!B6/10</f>
        <v>1.9</v>
      </c>
      <c r="L6" s="8" t="n">
        <f aca="false">_xlfn.FLOOR.MATH(10*((SUM(D6*0.2,G6*0.05,J6*0.05,K6)*(6/5))*(20/43) + (138/43)))/10</f>
        <v>5.8</v>
      </c>
    </row>
    <row r="7" customFormat="false" ht="15.75" hidden="false" customHeight="false" outlineLevel="0" collapsed="false">
      <c r="A7" s="9" t="s">
        <v>7</v>
      </c>
      <c r="B7" s="2" t="n">
        <f aca="false">'Teste 1'!B7</f>
        <v>1</v>
      </c>
      <c r="C7" s="2" t="n">
        <f aca="false">'Teste 2'!B7</f>
        <v>9</v>
      </c>
      <c r="D7" s="2" t="n">
        <f aca="false">SUM(B7:C7)/2</f>
        <v>5</v>
      </c>
      <c r="E7" s="2" t="n">
        <f aca="false">'Lista 1'!B7</f>
        <v>1</v>
      </c>
      <c r="F7" s="2" t="n">
        <f aca="false">'Lista 2'!B7</f>
        <v>1</v>
      </c>
      <c r="G7" s="2" t="n">
        <f aca="false">SUM(E7:F7)*5</f>
        <v>10</v>
      </c>
      <c r="H7" s="2" t="n">
        <f aca="false">'Lista 1'!G7</f>
        <v>10</v>
      </c>
      <c r="I7" s="2" t="n">
        <f aca="false">10</f>
        <v>10</v>
      </c>
      <c r="J7" s="2" t="n">
        <f aca="false">SUM(H7:I7)/2</f>
        <v>10</v>
      </c>
      <c r="K7" s="2" t="n">
        <f aca="false">'Prova 1'!B7/10</f>
        <v>2.2</v>
      </c>
      <c r="L7" s="8" t="n">
        <f aca="false">_xlfn.FLOOR.MATH(10*((SUM(D7*0.2,G7*0.05,J7*0.05,K7)*(6/5))*(20/43) + (138/43)))/10</f>
        <v>5.5</v>
      </c>
    </row>
    <row r="8" customFormat="false" ht="15.75" hidden="false" customHeight="false" outlineLevel="0" collapsed="false">
      <c r="A8" s="9" t="s">
        <v>8</v>
      </c>
      <c r="B8" s="2" t="n">
        <f aca="false">'Teste 1'!B8</f>
        <v>6.5</v>
      </c>
      <c r="C8" s="2" t="n">
        <f aca="false">'Teste 2'!B8</f>
        <v>9</v>
      </c>
      <c r="D8" s="2" t="n">
        <f aca="false">SUM(B8:C8)/2</f>
        <v>7.75</v>
      </c>
      <c r="E8" s="2" t="n">
        <f aca="false">'Lista 1'!B8</f>
        <v>1</v>
      </c>
      <c r="F8" s="2" t="n">
        <f aca="false">'Lista 2'!B8</f>
        <v>1</v>
      </c>
      <c r="G8" s="2" t="n">
        <f aca="false">SUM(E8:F8)*5</f>
        <v>10</v>
      </c>
      <c r="H8" s="2" t="n">
        <f aca="false">'Lista 1'!G8</f>
        <v>7</v>
      </c>
      <c r="I8" s="2" t="n">
        <f aca="false">10</f>
        <v>10</v>
      </c>
      <c r="J8" s="2" t="n">
        <f aca="false">SUM(H8:I8)/2</f>
        <v>8.5</v>
      </c>
      <c r="K8" s="2" t="n">
        <f aca="false">'Prova 1'!B8/10</f>
        <v>3.5</v>
      </c>
      <c r="L8" s="10" t="n">
        <f aca="false">_xlfn.FLOOR.MATH(10*((SUM(D8*0.2,G8*0.05,J8*0.05,K8)*(6/5))*(20/43) + (138/43)))/10</f>
        <v>6.5</v>
      </c>
    </row>
    <row r="9" customFormat="false" ht="15.75" hidden="false" customHeight="false" outlineLevel="0" collapsed="false">
      <c r="A9" s="9" t="s">
        <v>9</v>
      </c>
      <c r="B9" s="2" t="n">
        <f aca="false">'Teste 1'!B9</f>
        <v>10</v>
      </c>
      <c r="C9" s="2" t="n">
        <f aca="false">'Teste 2'!B9</f>
        <v>10</v>
      </c>
      <c r="D9" s="2" t="n">
        <f aca="false">SUM(B9:C9)/2</f>
        <v>10</v>
      </c>
      <c r="E9" s="2" t="n">
        <f aca="false">'Lista 1'!B9</f>
        <v>1</v>
      </c>
      <c r="F9" s="2" t="n">
        <f aca="false">'Lista 2'!B9</f>
        <v>1</v>
      </c>
      <c r="G9" s="2" t="n">
        <f aca="false">SUM(E9:F9)*5</f>
        <v>10</v>
      </c>
      <c r="H9" s="2" t="n">
        <f aca="false">'Lista 1'!G9</f>
        <v>9.8</v>
      </c>
      <c r="I9" s="2" t="n">
        <f aca="false">10</f>
        <v>10</v>
      </c>
      <c r="J9" s="2" t="n">
        <f aca="false">SUM(H9:I9)/2</f>
        <v>9.9</v>
      </c>
      <c r="K9" s="2" t="n">
        <f aca="false">'Prova 1'!B9/10</f>
        <v>2</v>
      </c>
      <c r="L9" s="10" t="n">
        <v>6</v>
      </c>
    </row>
    <row r="10" customFormat="false" ht="15.75" hidden="false" customHeight="false" outlineLevel="0" collapsed="false">
      <c r="A10" s="9" t="s">
        <v>10</v>
      </c>
      <c r="B10" s="2" t="n">
        <f aca="false">'Teste 1'!B10</f>
        <v>10</v>
      </c>
      <c r="C10" s="2" t="n">
        <f aca="false">'Teste 2'!B10</f>
        <v>10</v>
      </c>
      <c r="D10" s="2" t="n">
        <f aca="false">SUM(B10:C10)/2</f>
        <v>10</v>
      </c>
      <c r="E10" s="2" t="n">
        <f aca="false">'Lista 1'!B10</f>
        <v>1</v>
      </c>
      <c r="F10" s="2" t="n">
        <f aca="false">'Lista 2'!B10</f>
        <v>1</v>
      </c>
      <c r="G10" s="2" t="n">
        <f aca="false">SUM(E10:F10)*5</f>
        <v>10</v>
      </c>
      <c r="H10" s="2" t="n">
        <f aca="false">'Lista 1'!G10</f>
        <v>7.8</v>
      </c>
      <c r="I10" s="2" t="n">
        <f aca="false">10</f>
        <v>10</v>
      </c>
      <c r="J10" s="2" t="n">
        <f aca="false">SUM(H10:I10)/2</f>
        <v>8.9</v>
      </c>
      <c r="K10" s="2" t="n">
        <f aca="false">'Prova 1'!B10/10</f>
        <v>4.5</v>
      </c>
      <c r="L10" s="10" t="n">
        <f aca="false">_xlfn.FLOOR.MATH(10*((SUM(D10*0.2,G10*0.05,J10*0.05,K10)*(6/5))*(20/43) + (138/43)))/10</f>
        <v>7.3</v>
      </c>
    </row>
    <row r="11" customFormat="false" ht="15.75" hidden="false" customHeight="false" outlineLevel="0" collapsed="false">
      <c r="A11" s="9" t="s">
        <v>11</v>
      </c>
      <c r="B11" s="2" t="n">
        <f aca="false">'Teste 1'!B11</f>
        <v>9.5</v>
      </c>
      <c r="C11" s="2" t="n">
        <f aca="false">'Teste 2'!B11</f>
        <v>10</v>
      </c>
      <c r="D11" s="2" t="n">
        <f aca="false">SUM(B11:C11)/2</f>
        <v>9.75</v>
      </c>
      <c r="E11" s="2" t="n">
        <f aca="false">'Lista 1'!B11</f>
        <v>1</v>
      </c>
      <c r="F11" s="2" t="n">
        <f aca="false">'Lista 2'!B11</f>
        <v>1</v>
      </c>
      <c r="G11" s="2" t="n">
        <f aca="false">SUM(E11:F11)*5</f>
        <v>10</v>
      </c>
      <c r="H11" s="2" t="n">
        <f aca="false">'Lista 1'!G11</f>
        <v>10</v>
      </c>
      <c r="I11" s="2" t="n">
        <f aca="false">10</f>
        <v>10</v>
      </c>
      <c r="J11" s="2" t="n">
        <f aca="false">SUM(H11:I11)/2</f>
        <v>10</v>
      </c>
      <c r="K11" s="2" t="n">
        <f aca="false">'Prova 1'!B11/10</f>
        <v>7.5</v>
      </c>
      <c r="L11" s="10" t="n">
        <f aca="false">_xlfn.FLOOR.MATH(10*((SUM(D11*0.2,G11*0.05,J11*0.05,K11)*(6/5))*(20/43) + (138/43)))/10</f>
        <v>9</v>
      </c>
    </row>
    <row r="12" customFormat="false" ht="15.75" hidden="false" customHeight="false" outlineLevel="0" collapsed="false">
      <c r="A12" s="9" t="s">
        <v>12</v>
      </c>
      <c r="B12" s="2" t="n">
        <f aca="false">'Teste 1'!B12</f>
        <v>10</v>
      </c>
      <c r="C12" s="2" t="n">
        <f aca="false">'Teste 2'!B12</f>
        <v>9.5</v>
      </c>
      <c r="D12" s="2" t="n">
        <f aca="false">SUM(B12:C12)/2</f>
        <v>9.75</v>
      </c>
      <c r="E12" s="2" t="n">
        <f aca="false">'Lista 1'!B12</f>
        <v>1</v>
      </c>
      <c r="F12" s="2" t="n">
        <f aca="false">'Lista 2'!B12</f>
        <v>1</v>
      </c>
      <c r="G12" s="2" t="n">
        <f aca="false">SUM(E12:F12)*5</f>
        <v>10</v>
      </c>
      <c r="H12" s="2" t="n">
        <f aca="false">'Lista 1'!G12</f>
        <v>10</v>
      </c>
      <c r="I12" s="2" t="n">
        <f aca="false">10</f>
        <v>10</v>
      </c>
      <c r="J12" s="2" t="n">
        <f aca="false">SUM(H12:I12)/2</f>
        <v>10</v>
      </c>
      <c r="K12" s="2" t="n">
        <f aca="false">'Prova 1'!B12/10</f>
        <v>2</v>
      </c>
      <c r="L12" s="10" t="n">
        <v>6</v>
      </c>
    </row>
    <row r="13" customFormat="false" ht="15.75" hidden="false" customHeight="false" outlineLevel="0" collapsed="false">
      <c r="A13" s="9" t="s">
        <v>13</v>
      </c>
      <c r="B13" s="2" t="n">
        <f aca="false">'Teste 1'!B13</f>
        <v>10</v>
      </c>
      <c r="C13" s="2" t="n">
        <f aca="false">'Teste 2'!B13</f>
        <v>10</v>
      </c>
      <c r="D13" s="2" t="n">
        <f aca="false">SUM(B13:C13)/2</f>
        <v>10</v>
      </c>
      <c r="E13" s="2" t="n">
        <f aca="false">'Lista 1'!B13</f>
        <v>1</v>
      </c>
      <c r="F13" s="2" t="n">
        <f aca="false">'Lista 2'!B13</f>
        <v>1</v>
      </c>
      <c r="G13" s="2" t="n">
        <f aca="false">SUM(E13:F13)*5</f>
        <v>10</v>
      </c>
      <c r="H13" s="2" t="n">
        <f aca="false">'Lista 1'!G13</f>
        <v>10</v>
      </c>
      <c r="I13" s="2" t="n">
        <f aca="false">10</f>
        <v>10</v>
      </c>
      <c r="J13" s="2" t="n">
        <f aca="false">SUM(H13:I13)/2</f>
        <v>10</v>
      </c>
      <c r="K13" s="2" t="n">
        <f aca="false">'Prova 1'!B13/10</f>
        <v>6.7</v>
      </c>
      <c r="L13" s="10" t="n">
        <f aca="false">_xlfn.FLOOR.MATH(10*((SUM(D13*0.2,G13*0.05,J13*0.05,K13)*(6/5))*(20/43) + (138/43)))/10</f>
        <v>8.6</v>
      </c>
    </row>
    <row r="14" customFormat="false" ht="15.75" hidden="false" customHeight="false" outlineLevel="0" collapsed="false">
      <c r="A14" s="9" t="s">
        <v>14</v>
      </c>
      <c r="B14" s="2" t="n">
        <f aca="false">'Teste 1'!B14</f>
        <v>0</v>
      </c>
      <c r="C14" s="2" t="n">
        <f aca="false">'Teste 2'!B14</f>
        <v>0</v>
      </c>
      <c r="D14" s="2" t="n">
        <f aca="false">SUM(B14:C14)/2</f>
        <v>0</v>
      </c>
      <c r="E14" s="2" t="n">
        <f aca="false">'Lista 1'!B14</f>
        <v>0</v>
      </c>
      <c r="F14" s="2" t="n">
        <f aca="false">'Lista 2'!B14</f>
        <v>0</v>
      </c>
      <c r="G14" s="2" t="n">
        <f aca="false">SUM(E14:F14)*5</f>
        <v>0</v>
      </c>
      <c r="H14" s="2" t="n">
        <f aca="false">'Lista 1'!G14</f>
        <v>0</v>
      </c>
      <c r="I14" s="2" t="n">
        <v>0</v>
      </c>
      <c r="J14" s="2" t="n">
        <f aca="false">SUM(H14:I14)/2</f>
        <v>0</v>
      </c>
      <c r="K14" s="2" t="n">
        <f aca="false">'Prova 1'!B14/10</f>
        <v>0</v>
      </c>
      <c r="L14" s="8" t="n">
        <v>0</v>
      </c>
    </row>
    <row r="15" customFormat="false" ht="15.75" hidden="false" customHeight="false" outlineLevel="0" collapsed="false">
      <c r="A15" s="9" t="s">
        <v>15</v>
      </c>
      <c r="B15" s="2" t="n">
        <f aca="false">'Teste 1'!B15</f>
        <v>10</v>
      </c>
      <c r="C15" s="2" t="n">
        <f aca="false">'Teste 2'!B15</f>
        <v>10</v>
      </c>
      <c r="D15" s="2" t="n">
        <f aca="false">SUM(B15:C15)/2</f>
        <v>10</v>
      </c>
      <c r="E15" s="2" t="n">
        <f aca="false">'Lista 1'!B15</f>
        <v>1</v>
      </c>
      <c r="F15" s="2" t="n">
        <f aca="false">'Lista 2'!B15</f>
        <v>1</v>
      </c>
      <c r="G15" s="2" t="n">
        <f aca="false">SUM(E15:F15)*5</f>
        <v>10</v>
      </c>
      <c r="H15" s="2" t="n">
        <f aca="false">'Lista 1'!G15</f>
        <v>10</v>
      </c>
      <c r="I15" s="2" t="n">
        <f aca="false">10</f>
        <v>10</v>
      </c>
      <c r="J15" s="2" t="n">
        <f aca="false">SUM(H15:I15)/2</f>
        <v>10</v>
      </c>
      <c r="K15" s="2" t="n">
        <f aca="false">'Prova 1'!B15/10</f>
        <v>3.7</v>
      </c>
      <c r="L15" s="10" t="n">
        <f aca="false">_xlfn.FLOOR.MATH(10*((SUM(D15*0.2,G15*0.05,J15*0.05,K15)*(6/5))*(20/43) + (138/43)))/10</f>
        <v>6.9</v>
      </c>
    </row>
    <row r="16" customFormat="false" ht="15.75" hidden="false" customHeight="false" outlineLevel="0" collapsed="false">
      <c r="A16" s="9" t="s">
        <v>16</v>
      </c>
      <c r="B16" s="2" t="n">
        <f aca="false">'Teste 1'!B16</f>
        <v>10</v>
      </c>
      <c r="C16" s="2" t="n">
        <f aca="false">'Teste 2'!B16</f>
        <v>10</v>
      </c>
      <c r="D16" s="2" t="n">
        <f aca="false">SUM(B16:C16)/2</f>
        <v>10</v>
      </c>
      <c r="E16" s="2" t="n">
        <f aca="false">'Lista 1'!B16</f>
        <v>1</v>
      </c>
      <c r="F16" s="2" t="n">
        <f aca="false">'Lista 2'!B16</f>
        <v>1</v>
      </c>
      <c r="G16" s="2" t="n">
        <f aca="false">SUM(E16:F16)*5</f>
        <v>10</v>
      </c>
      <c r="H16" s="2" t="n">
        <f aca="false">'Lista 1'!G16</f>
        <v>9.8</v>
      </c>
      <c r="I16" s="2" t="n">
        <f aca="false">10</f>
        <v>10</v>
      </c>
      <c r="J16" s="2" t="n">
        <f aca="false">SUM(H16:I16)/2</f>
        <v>9.9</v>
      </c>
      <c r="K16" s="2" t="n">
        <f aca="false">'Prova 1'!B16/10</f>
        <v>1.8</v>
      </c>
      <c r="L16" s="8" t="n">
        <f aca="false">_xlfn.FLOOR.MATH(10*((SUM(D16*0.2,G16*0.05,J16*0.05,K16)*(6/5))*(20/43) + (138/43)))/10</f>
        <v>5.8</v>
      </c>
    </row>
    <row r="17" customFormat="false" ht="15.75" hidden="false" customHeight="false" outlineLevel="0" collapsed="false">
      <c r="A17" s="9" t="s">
        <v>17</v>
      </c>
      <c r="B17" s="2" t="n">
        <f aca="false">'Teste 1'!B17</f>
        <v>10</v>
      </c>
      <c r="C17" s="2" t="n">
        <f aca="false">'Teste 2'!B17</f>
        <v>9</v>
      </c>
      <c r="D17" s="2" t="n">
        <f aca="false">SUM(B17:C17)/2</f>
        <v>9.5</v>
      </c>
      <c r="E17" s="2" t="n">
        <f aca="false">'Lista 1'!B17</f>
        <v>1</v>
      </c>
      <c r="F17" s="2" t="n">
        <f aca="false">'Lista 2'!B17</f>
        <v>1</v>
      </c>
      <c r="G17" s="2" t="n">
        <f aca="false">SUM(E17:F17)*5</f>
        <v>10</v>
      </c>
      <c r="H17" s="2" t="n">
        <f aca="false">'Lista 1'!G17</f>
        <v>10</v>
      </c>
      <c r="I17" s="2" t="n">
        <f aca="false">10</f>
        <v>10</v>
      </c>
      <c r="J17" s="2" t="n">
        <f aca="false">SUM(H17:I17)/2</f>
        <v>10</v>
      </c>
      <c r="K17" s="2" t="n">
        <f aca="false">'Prova 1'!B17/10</f>
        <v>9.1</v>
      </c>
      <c r="L17" s="10" t="n">
        <v>10</v>
      </c>
    </row>
    <row r="18" customFormat="false" ht="15.75" hidden="false" customHeight="false" outlineLevel="0" collapsed="false">
      <c r="A18" s="9" t="s">
        <v>18</v>
      </c>
      <c r="B18" s="2" t="n">
        <f aca="false">'Teste 1'!B18</f>
        <v>10</v>
      </c>
      <c r="C18" s="2" t="n">
        <f aca="false">'Teste 2'!B18</f>
        <v>10</v>
      </c>
      <c r="D18" s="2" t="n">
        <f aca="false">SUM(B18:C18)/2</f>
        <v>10</v>
      </c>
      <c r="E18" s="2" t="n">
        <f aca="false">'Lista 1'!B18</f>
        <v>1</v>
      </c>
      <c r="F18" s="2" t="n">
        <f aca="false">'Lista 2'!B18</f>
        <v>1</v>
      </c>
      <c r="G18" s="2" t="n">
        <f aca="false">SUM(E18:F18)*5</f>
        <v>10</v>
      </c>
      <c r="H18" s="2" t="n">
        <f aca="false">'Lista 1'!G18</f>
        <v>8</v>
      </c>
      <c r="I18" s="2" t="n">
        <f aca="false">10</f>
        <v>10</v>
      </c>
      <c r="J18" s="2" t="n">
        <f aca="false">SUM(H18:I18)/2</f>
        <v>9</v>
      </c>
      <c r="K18" s="2" t="n">
        <f aca="false">'Prova 1'!B18/10</f>
        <v>1.6</v>
      </c>
      <c r="L18" s="8" t="n">
        <f aca="false">_xlfn.FLOOR.MATH(10*((SUM(D18*0.2,G18*0.05,J18*0.05,K18)*(6/5))*(20/43) + (138/43)))/10</f>
        <v>5.7</v>
      </c>
    </row>
    <row r="19" customFormat="false" ht="15.75" hidden="false" customHeight="false" outlineLevel="0" collapsed="false">
      <c r="A19" s="9" t="s">
        <v>19</v>
      </c>
      <c r="B19" s="2" t="n">
        <f aca="false">'Teste 1'!B19</f>
        <v>10</v>
      </c>
      <c r="C19" s="2" t="n">
        <f aca="false">'Teste 2'!B19</f>
        <v>7.5</v>
      </c>
      <c r="D19" s="2" t="n">
        <f aca="false">SUM(B19:C19)/2</f>
        <v>8.75</v>
      </c>
      <c r="E19" s="2" t="n">
        <f aca="false">'Lista 1'!B19</f>
        <v>1</v>
      </c>
      <c r="F19" s="2" t="n">
        <f aca="false">'Lista 2'!B19</f>
        <v>1</v>
      </c>
      <c r="G19" s="2" t="n">
        <f aca="false">SUM(E19:F19)*5</f>
        <v>10</v>
      </c>
      <c r="H19" s="2" t="n">
        <f aca="false">'Lista 1'!G19</f>
        <v>8.5</v>
      </c>
      <c r="I19" s="2" t="n">
        <f aca="false">10</f>
        <v>10</v>
      </c>
      <c r="J19" s="2" t="n">
        <f aca="false">SUM(H19:I19)/2</f>
        <v>9.25</v>
      </c>
      <c r="K19" s="2" t="n">
        <f aca="false">'Prova 1'!B19/10</f>
        <v>1.5</v>
      </c>
      <c r="L19" s="8" t="n">
        <f aca="false">_xlfn.FLOOR.MATH(10*((SUM(D19*0.2,G19*0.05,J19*0.05,K19)*(6/5))*(20/43) + (138/43)))/10</f>
        <v>5.5</v>
      </c>
    </row>
    <row r="20" customFormat="false" ht="15.75" hidden="false" customHeight="false" outlineLevel="0" collapsed="false">
      <c r="A20" s="9" t="s">
        <v>20</v>
      </c>
      <c r="B20" s="2" t="n">
        <f aca="false">'Teste 1'!B20</f>
        <v>10</v>
      </c>
      <c r="C20" s="2" t="n">
        <f aca="false">'Teste 2'!B20</f>
        <v>9</v>
      </c>
      <c r="D20" s="2" t="n">
        <f aca="false">SUM(B20:C20)/2</f>
        <v>9.5</v>
      </c>
      <c r="E20" s="2" t="n">
        <f aca="false">'Lista 1'!B20</f>
        <v>1</v>
      </c>
      <c r="F20" s="2" t="n">
        <f aca="false">'Lista 2'!B20</f>
        <v>1</v>
      </c>
      <c r="G20" s="2" t="n">
        <f aca="false">SUM(E20:F20)*5</f>
        <v>10</v>
      </c>
      <c r="H20" s="2" t="n">
        <f aca="false">'Lista 1'!G20</f>
        <v>10</v>
      </c>
      <c r="I20" s="2" t="n">
        <f aca="false">10</f>
        <v>10</v>
      </c>
      <c r="J20" s="2" t="n">
        <f aca="false">SUM(H20:I20)/2</f>
        <v>10</v>
      </c>
      <c r="K20" s="2" t="n">
        <f aca="false">'Prova 1'!B20/10</f>
        <v>3.1</v>
      </c>
      <c r="L20" s="10" t="n">
        <f aca="false">_xlfn.FLOOR.MATH(10*((SUM(D20*0.2,G20*0.05,J20*0.05,K20)*(6/5))*(20/43) + (138/43)))/10</f>
        <v>6.5</v>
      </c>
    </row>
    <row r="21" customFormat="false" ht="15.75" hidden="false" customHeight="false" outlineLevel="0" collapsed="false">
      <c r="A21" s="9" t="s">
        <v>21</v>
      </c>
      <c r="B21" s="2" t="n">
        <f aca="false">'Teste 1'!B21</f>
        <v>10</v>
      </c>
      <c r="C21" s="2" t="n">
        <f aca="false">'Teste 2'!B21</f>
        <v>10</v>
      </c>
      <c r="D21" s="2" t="n">
        <f aca="false">SUM(B21:C21)/2</f>
        <v>10</v>
      </c>
      <c r="E21" s="2" t="n">
        <f aca="false">'Lista 1'!B21</f>
        <v>1</v>
      </c>
      <c r="F21" s="2" t="n">
        <f aca="false">'Lista 2'!B21</f>
        <v>1</v>
      </c>
      <c r="G21" s="2" t="n">
        <f aca="false">SUM(E21:F21)*5</f>
        <v>10</v>
      </c>
      <c r="H21" s="2" t="n">
        <f aca="false">'Lista 1'!G21</f>
        <v>7</v>
      </c>
      <c r="I21" s="2" t="n">
        <f aca="false">10</f>
        <v>10</v>
      </c>
      <c r="J21" s="2" t="n">
        <f aca="false">SUM(H21:I21)/2</f>
        <v>8.5</v>
      </c>
      <c r="K21" s="2" t="n">
        <f aca="false">'Prova 1'!B21/10</f>
        <v>2.7</v>
      </c>
      <c r="L21" s="10" t="n">
        <f aca="false">_xlfn.FLOOR.MATH(10*((SUM(D21*0.2,G21*0.05,J21*0.05,K21)*(6/5))*(20/43) + (138/43)))/10</f>
        <v>6.3</v>
      </c>
    </row>
    <row r="22" customFormat="false" ht="15.75" hidden="false" customHeight="false" outlineLevel="0" collapsed="false">
      <c r="A22" s="9" t="s">
        <v>22</v>
      </c>
      <c r="B22" s="2" t="n">
        <f aca="false">'Teste 1'!B22</f>
        <v>10</v>
      </c>
      <c r="C22" s="2" t="n">
        <f aca="false">'Teste 2'!B22</f>
        <v>10</v>
      </c>
      <c r="D22" s="2" t="n">
        <f aca="false">SUM(B22:C22)/2</f>
        <v>10</v>
      </c>
      <c r="E22" s="2" t="n">
        <f aca="false">'Lista 1'!B22</f>
        <v>1</v>
      </c>
      <c r="F22" s="2" t="n">
        <f aca="false">'Lista 2'!B22</f>
        <v>1</v>
      </c>
      <c r="G22" s="2" t="n">
        <f aca="false">SUM(E22:F22)*5</f>
        <v>10</v>
      </c>
      <c r="H22" s="2" t="n">
        <f aca="false">'Lista 1'!G22</f>
        <v>10</v>
      </c>
      <c r="I22" s="2" t="n">
        <f aca="false">10</f>
        <v>10</v>
      </c>
      <c r="J22" s="2" t="n">
        <f aca="false">SUM(H22:I22)/2</f>
        <v>10</v>
      </c>
      <c r="K22" s="2" t="n">
        <f aca="false">'Prova 1'!B22/10</f>
        <v>9.1</v>
      </c>
      <c r="L22" s="10" t="n">
        <v>10</v>
      </c>
    </row>
    <row r="23" customFormat="false" ht="15.75" hidden="false" customHeight="false" outlineLevel="0" collapsed="false">
      <c r="A23" s="9" t="s">
        <v>23</v>
      </c>
      <c r="B23" s="2" t="n">
        <f aca="false">'Teste 1'!B23</f>
        <v>10</v>
      </c>
      <c r="C23" s="2" t="n">
        <f aca="false">'Teste 2'!B23</f>
        <v>10</v>
      </c>
      <c r="D23" s="2" t="n">
        <f aca="false">SUM(B23:C23)/2</f>
        <v>10</v>
      </c>
      <c r="E23" s="2" t="n">
        <f aca="false">'Lista 1'!B23</f>
        <v>1</v>
      </c>
      <c r="F23" s="2" t="n">
        <f aca="false">'Lista 2'!B23</f>
        <v>1</v>
      </c>
      <c r="G23" s="2" t="n">
        <f aca="false">SUM(E23:F23)*5</f>
        <v>10</v>
      </c>
      <c r="H23" s="2" t="n">
        <f aca="false">'Lista 1'!G23</f>
        <v>9.8</v>
      </c>
      <c r="I23" s="2" t="n">
        <f aca="false">10</f>
        <v>10</v>
      </c>
      <c r="J23" s="2" t="n">
        <f aca="false">SUM(H23:I23)/2</f>
        <v>9.9</v>
      </c>
      <c r="K23" s="2" t="n">
        <f aca="false">'Prova 1'!B23/10</f>
        <v>4.4</v>
      </c>
      <c r="L23" s="10" t="n">
        <f aca="false">_xlfn.FLOOR.MATH(10*((SUM(D23*0.2,G23*0.05,J23*0.05,K23)*(6/5))*(20/43) + (138/43)))/10</f>
        <v>7.3</v>
      </c>
    </row>
    <row r="24" customFormat="false" ht="15.75" hidden="false" customHeight="false" outlineLevel="0" collapsed="false">
      <c r="A24" s="9" t="s">
        <v>24</v>
      </c>
      <c r="B24" s="2" t="n">
        <f aca="false">'Teste 1'!B24</f>
        <v>10</v>
      </c>
      <c r="C24" s="2" t="n">
        <f aca="false">'Teste 2'!B24</f>
        <v>9</v>
      </c>
      <c r="D24" s="2" t="n">
        <f aca="false">SUM(B24:C24)/2</f>
        <v>9.5</v>
      </c>
      <c r="E24" s="2" t="n">
        <f aca="false">'Lista 1'!B24</f>
        <v>1</v>
      </c>
      <c r="F24" s="2" t="n">
        <f aca="false">'Lista 2'!B24</f>
        <v>1</v>
      </c>
      <c r="G24" s="2" t="n">
        <f aca="false">SUM(E24:F24)*5</f>
        <v>10</v>
      </c>
      <c r="H24" s="2" t="n">
        <f aca="false">'Lista 1'!G24</f>
        <v>9.8</v>
      </c>
      <c r="I24" s="2" t="n">
        <f aca="false">10</f>
        <v>10</v>
      </c>
      <c r="J24" s="2" t="n">
        <f aca="false">SUM(H24:I24)/2</f>
        <v>9.9</v>
      </c>
      <c r="K24" s="2" t="n">
        <f aca="false">'Prova 1'!B24/10</f>
        <v>3.7</v>
      </c>
      <c r="L24" s="10" t="n">
        <f aca="false">_xlfn.FLOOR.MATH(10*((SUM(D24*0.2,G24*0.05,J24*0.05,K24)*(6/5))*(20/43) + (138/43)))/10</f>
        <v>6.8</v>
      </c>
    </row>
    <row r="25" customFormat="false" ht="15.75" hidden="false" customHeight="false" outlineLevel="0" collapsed="false">
      <c r="A25" s="9" t="s">
        <v>25</v>
      </c>
      <c r="B25" s="2" t="n">
        <f aca="false">'Teste 1'!B25</f>
        <v>0</v>
      </c>
      <c r="C25" s="2" t="n">
        <f aca="false">'Teste 2'!B25</f>
        <v>10</v>
      </c>
      <c r="D25" s="2" t="n">
        <f aca="false">SUM(B25:C25)/2</f>
        <v>5</v>
      </c>
      <c r="E25" s="2" t="n">
        <f aca="false">'Lista 1'!B25</f>
        <v>1</v>
      </c>
      <c r="F25" s="2" t="n">
        <f aca="false">'Lista 2'!B25</f>
        <v>1</v>
      </c>
      <c r="G25" s="2" t="n">
        <f aca="false">SUM(E25:F25)*5</f>
        <v>10</v>
      </c>
      <c r="H25" s="2" t="n">
        <f aca="false">'Lista 1'!G25</f>
        <v>9</v>
      </c>
      <c r="I25" s="2" t="n">
        <f aca="false">10</f>
        <v>10</v>
      </c>
      <c r="J25" s="2" t="n">
        <f aca="false">SUM(H25:I25)/2</f>
        <v>9.5</v>
      </c>
      <c r="K25" s="2" t="n">
        <f aca="false">'Prova 1'!B25/10</f>
        <v>2.5</v>
      </c>
      <c r="L25" s="8" t="n">
        <f aca="false">_xlfn.FLOOR.MATH(10*((SUM(D25*0.2,G25*0.05,J25*0.05,K25)*(6/5))*(20/43) + (138/43)))/10</f>
        <v>5.7</v>
      </c>
    </row>
    <row r="26" customFormat="false" ht="15.75" hidden="false" customHeight="false" outlineLevel="0" collapsed="false">
      <c r="A26" s="9" t="s">
        <v>26</v>
      </c>
      <c r="B26" s="2" t="n">
        <f aca="false">'Teste 1'!B26</f>
        <v>0</v>
      </c>
      <c r="C26" s="2" t="n">
        <f aca="false">'Teste 2'!B26</f>
        <v>0</v>
      </c>
      <c r="D26" s="2" t="n">
        <f aca="false">SUM(B26:C26)/2</f>
        <v>0</v>
      </c>
      <c r="E26" s="2" t="n">
        <f aca="false">'Lista 1'!B26</f>
        <v>0</v>
      </c>
      <c r="F26" s="2" t="n">
        <f aca="false">'Lista 2'!B26</f>
        <v>0</v>
      </c>
      <c r="G26" s="2" t="n">
        <f aca="false">SUM(E26:F26)*5</f>
        <v>0</v>
      </c>
      <c r="H26" s="2" t="n">
        <f aca="false">'Lista 1'!G26</f>
        <v>0</v>
      </c>
      <c r="I26" s="2" t="n">
        <v>0</v>
      </c>
      <c r="J26" s="2" t="n">
        <f aca="false">SUM(H26:I26)/2</f>
        <v>0</v>
      </c>
      <c r="K26" s="2" t="n">
        <f aca="false">'Prova 1'!B26/10</f>
        <v>0</v>
      </c>
      <c r="L26" s="8" t="n">
        <v>0</v>
      </c>
    </row>
    <row r="27" customFormat="false" ht="15.75" hidden="false" customHeight="false" outlineLevel="0" collapsed="false">
      <c r="A27" s="9" t="s">
        <v>27</v>
      </c>
      <c r="B27" s="2" t="n">
        <f aca="false">'Teste 1'!B27</f>
        <v>10</v>
      </c>
      <c r="C27" s="2" t="n">
        <f aca="false">'Teste 2'!B27</f>
        <v>10</v>
      </c>
      <c r="D27" s="2" t="n">
        <f aca="false">SUM(B27:C27)/2</f>
        <v>10</v>
      </c>
      <c r="E27" s="2" t="n">
        <f aca="false">'Lista 1'!B27</f>
        <v>1</v>
      </c>
      <c r="F27" s="2" t="n">
        <f aca="false">'Lista 2'!B27</f>
        <v>1</v>
      </c>
      <c r="G27" s="2" t="n">
        <f aca="false">SUM(E27:F27)*5</f>
        <v>10</v>
      </c>
      <c r="H27" s="2" t="n">
        <f aca="false">'Lista 1'!G27</f>
        <v>9.8</v>
      </c>
      <c r="I27" s="2" t="n">
        <f aca="false">10</f>
        <v>10</v>
      </c>
      <c r="J27" s="2" t="n">
        <f aca="false">SUM(H27:I27)/2</f>
        <v>9.9</v>
      </c>
      <c r="K27" s="2" t="n">
        <v>8.3</v>
      </c>
      <c r="L27" s="10" t="n">
        <f aca="false">_xlfn.FLOOR.MATH(10*((SUM(D27*0.2,G27*0.05,J27*0.05,K27)*(6/5))*(20/43) + (138/43)))/10</f>
        <v>9.5</v>
      </c>
      <c r="M27" s="11" t="s">
        <v>110</v>
      </c>
    </row>
    <row r="28" customFormat="false" ht="15.75" hidden="false" customHeight="false" outlineLevel="0" collapsed="false">
      <c r="A28" s="9" t="s">
        <v>28</v>
      </c>
      <c r="B28" s="2" t="n">
        <f aca="false">'Teste 1'!B28</f>
        <v>10</v>
      </c>
      <c r="C28" s="2" t="n">
        <f aca="false">'Teste 2'!B28</f>
        <v>10</v>
      </c>
      <c r="D28" s="2" t="n">
        <f aca="false">SUM(B28:C28)/2</f>
        <v>10</v>
      </c>
      <c r="E28" s="2" t="n">
        <f aca="false">'Lista 1'!B28</f>
        <v>1</v>
      </c>
      <c r="F28" s="2" t="n">
        <f aca="false">'Lista 2'!B28</f>
        <v>1</v>
      </c>
      <c r="G28" s="2" t="n">
        <f aca="false">SUM(E28:F28)*5</f>
        <v>10</v>
      </c>
      <c r="H28" s="2" t="n">
        <f aca="false">'Lista 1'!G28</f>
        <v>10</v>
      </c>
      <c r="I28" s="2" t="n">
        <f aca="false">10</f>
        <v>10</v>
      </c>
      <c r="J28" s="2" t="n">
        <f aca="false">SUM(H28:I28)/2</f>
        <v>10</v>
      </c>
      <c r="K28" s="2" t="n">
        <f aca="false">'Prova 1'!B28/10</f>
        <v>9.3</v>
      </c>
      <c r="L28" s="10" t="n">
        <f aca="false">_xlfn.FLOOR.MATH(10*((SUM(D28*0.2,G28*0.05,J28*0.05,K28)*(6/5))*(20/43) + (138/43)))/10</f>
        <v>10</v>
      </c>
    </row>
    <row r="29" customFormat="false" ht="15.75" hidden="false" customHeight="false" outlineLevel="0" collapsed="false">
      <c r="A29" s="9" t="s">
        <v>96</v>
      </c>
      <c r="B29" s="2" t="n">
        <f aca="false">'Teste 1'!B29</f>
        <v>9</v>
      </c>
      <c r="C29" s="2" t="n">
        <f aca="false">'Teste 2'!B29</f>
        <v>9</v>
      </c>
      <c r="D29" s="2" t="n">
        <f aca="false">SUM(B29:C29)/2</f>
        <v>9</v>
      </c>
      <c r="E29" s="2" t="n">
        <f aca="false">'Lista 1'!B29</f>
        <v>1</v>
      </c>
      <c r="F29" s="2" t="n">
        <f aca="false">'Lista 2'!B29</f>
        <v>1</v>
      </c>
      <c r="G29" s="2" t="n">
        <f aca="false">SUM(E29:F29)*5</f>
        <v>10</v>
      </c>
      <c r="H29" s="2" t="n">
        <f aca="false">'Lista 1'!G29</f>
        <v>10</v>
      </c>
      <c r="I29" s="2" t="n">
        <f aca="false">10</f>
        <v>10</v>
      </c>
      <c r="J29" s="2" t="n">
        <f aca="false">SUM(H29:I29)/2</f>
        <v>10</v>
      </c>
      <c r="K29" s="2" t="n">
        <f aca="false">'Prova 1'!B29/10</f>
        <v>1.5</v>
      </c>
      <c r="L29" s="8" t="n">
        <f aca="false">_xlfn.FLOOR.MATH(10*((SUM(D29*0.2,G29*0.05,J29*0.05,K29)*(6/5))*(20/43) + (138/43)))/10</f>
        <v>5.6</v>
      </c>
    </row>
    <row r="30" customFormat="false" ht="15.75" hidden="false" customHeight="false" outlineLevel="0" collapsed="false">
      <c r="A30" s="9" t="s">
        <v>30</v>
      </c>
      <c r="B30" s="2" t="n">
        <f aca="false">'Teste 1'!B30</f>
        <v>10</v>
      </c>
      <c r="C30" s="2" t="n">
        <f aca="false">'Teste 2'!B30</f>
        <v>10</v>
      </c>
      <c r="D30" s="2" t="n">
        <f aca="false">SUM(B30:C30)/2</f>
        <v>10</v>
      </c>
      <c r="E30" s="2" t="n">
        <f aca="false">'Lista 1'!B30</f>
        <v>1</v>
      </c>
      <c r="F30" s="2" t="n">
        <f aca="false">'Lista 2'!B30</f>
        <v>1</v>
      </c>
      <c r="G30" s="2" t="n">
        <f aca="false">SUM(E30:F30)*5</f>
        <v>10</v>
      </c>
      <c r="H30" s="2" t="n">
        <f aca="false">'Lista 1'!G30</f>
        <v>9.8</v>
      </c>
      <c r="I30" s="2" t="n">
        <f aca="false">10</f>
        <v>10</v>
      </c>
      <c r="J30" s="2" t="n">
        <f aca="false">SUM(H30:I30)/2</f>
        <v>9.9</v>
      </c>
      <c r="K30" s="2" t="n">
        <f aca="false">'Prova 1'!B30/10</f>
        <v>4.3</v>
      </c>
      <c r="L30" s="10" t="n">
        <f aca="false">_xlfn.FLOOR.MATH(10*((SUM(D30*0.2,G30*0.05,J30*0.05,K30)*(6/5))*(20/43) + (138/43)))/10</f>
        <v>7.2</v>
      </c>
    </row>
    <row r="31" customFormat="false" ht="15.75" hidden="false" customHeight="false" outlineLevel="0" collapsed="false">
      <c r="A31" s="9" t="s">
        <v>31</v>
      </c>
      <c r="B31" s="2" t="n">
        <f aca="false">'Teste 1'!B31</f>
        <v>10</v>
      </c>
      <c r="C31" s="2" t="n">
        <f aca="false">'Teste 2'!B31</f>
        <v>10</v>
      </c>
      <c r="D31" s="2" t="n">
        <f aca="false">SUM(B31:C31)/2</f>
        <v>10</v>
      </c>
      <c r="E31" s="2" t="n">
        <f aca="false">'Lista 1'!B31</f>
        <v>1</v>
      </c>
      <c r="F31" s="2" t="n">
        <f aca="false">'Lista 2'!B31</f>
        <v>1</v>
      </c>
      <c r="G31" s="2" t="n">
        <f aca="false">SUM(E31:F31)*5</f>
        <v>10</v>
      </c>
      <c r="H31" s="2" t="n">
        <f aca="false">'Lista 1'!G31</f>
        <v>10</v>
      </c>
      <c r="I31" s="2" t="n">
        <f aca="false">10</f>
        <v>10</v>
      </c>
      <c r="J31" s="2" t="n">
        <f aca="false">SUM(H31:I31)/2</f>
        <v>10</v>
      </c>
      <c r="K31" s="2" t="n">
        <v>5.5</v>
      </c>
      <c r="L31" s="10" t="n">
        <f aca="false">_xlfn.FLOOR.MATH(10*((SUM(D31*0.2,G31*0.05,J31*0.05,K31)*(6/5))*(20/43) + (138/43)))/10</f>
        <v>7.9</v>
      </c>
    </row>
    <row r="32" customFormat="false" ht="15.75" hidden="false" customHeight="false" outlineLevel="0" collapsed="false">
      <c r="A32" s="9" t="s">
        <v>32</v>
      </c>
      <c r="B32" s="2" t="n">
        <f aca="false">'Teste 1'!B32</f>
        <v>10</v>
      </c>
      <c r="C32" s="2" t="n">
        <f aca="false">'Teste 2'!B32</f>
        <v>8</v>
      </c>
      <c r="D32" s="2" t="n">
        <f aca="false">SUM(B32:C32)/2</f>
        <v>9</v>
      </c>
      <c r="E32" s="2" t="n">
        <f aca="false">'Lista 1'!B32</f>
        <v>1</v>
      </c>
      <c r="F32" s="2" t="n">
        <f aca="false">'Lista 2'!B32</f>
        <v>1</v>
      </c>
      <c r="G32" s="2" t="n">
        <f aca="false">SUM(E32:F32)*5</f>
        <v>10</v>
      </c>
      <c r="H32" s="2" t="n">
        <f aca="false">'Lista 1'!G32</f>
        <v>9.5</v>
      </c>
      <c r="I32" s="2" t="n">
        <f aca="false">10</f>
        <v>10</v>
      </c>
      <c r="J32" s="2" t="n">
        <f aca="false">SUM(H32:I32)/2</f>
        <v>9.75</v>
      </c>
      <c r="K32" s="2" t="n">
        <f aca="false">'Prova 1'!B32/10</f>
        <v>2.6</v>
      </c>
      <c r="L32" s="10" t="n">
        <f aca="false">_xlfn.FLOOR.MATH(10*((SUM(D32*0.2,G32*0.05,J32*0.05,K32)*(6/5))*(20/43) + (138/43)))/10</f>
        <v>6.2</v>
      </c>
    </row>
    <row r="33" customFormat="false" ht="15.75" hidden="false" customHeight="false" outlineLevel="0" collapsed="false">
      <c r="A33" s="9" t="s">
        <v>33</v>
      </c>
      <c r="B33" s="2" t="n">
        <f aca="false">'Teste 1'!B33</f>
        <v>10</v>
      </c>
      <c r="C33" s="2" t="n">
        <f aca="false">'Teste 2'!B33</f>
        <v>9.5</v>
      </c>
      <c r="D33" s="2" t="n">
        <f aca="false">SUM(B33:C33)/2</f>
        <v>9.75</v>
      </c>
      <c r="E33" s="2" t="n">
        <f aca="false">'Lista 1'!B33</f>
        <v>1</v>
      </c>
      <c r="F33" s="2" t="n">
        <f aca="false">'Lista 2'!B33</f>
        <v>1</v>
      </c>
      <c r="G33" s="2" t="n">
        <f aca="false">SUM(E33:F33)*5</f>
        <v>10</v>
      </c>
      <c r="H33" s="2" t="n">
        <f aca="false">'Lista 1'!G33</f>
        <v>9.8</v>
      </c>
      <c r="I33" s="2" t="n">
        <f aca="false">10</f>
        <v>10</v>
      </c>
      <c r="J33" s="2" t="n">
        <f aca="false">SUM(H33:I33)/2</f>
        <v>9.9</v>
      </c>
      <c r="K33" s="2" t="n">
        <f aca="false">'Prova 1'!B33/10</f>
        <v>3.4</v>
      </c>
      <c r="L33" s="10" t="n">
        <f aca="false">_xlfn.FLOOR.MATH(10*((SUM(D33*0.2,G33*0.05,J33*0.05,K33)*(6/5))*(20/43) + (138/43)))/10</f>
        <v>6.7</v>
      </c>
    </row>
    <row r="34" customFormat="false" ht="15.75" hidden="false" customHeight="false" outlineLevel="0" collapsed="false">
      <c r="A34" s="9" t="s">
        <v>34</v>
      </c>
      <c r="B34" s="2" t="n">
        <f aca="false">'Teste 1'!B34</f>
        <v>10</v>
      </c>
      <c r="C34" s="2" t="n">
        <f aca="false">'Teste 2'!B34</f>
        <v>9</v>
      </c>
      <c r="D34" s="2" t="n">
        <f aca="false">SUM(B34:C34)/2</f>
        <v>9.5</v>
      </c>
      <c r="E34" s="2" t="n">
        <f aca="false">'Lista 1'!B34</f>
        <v>1</v>
      </c>
      <c r="F34" s="2" t="n">
        <f aca="false">'Lista 2'!B34</f>
        <v>1</v>
      </c>
      <c r="G34" s="2" t="n">
        <f aca="false">SUM(E34:F34)*5</f>
        <v>10</v>
      </c>
      <c r="H34" s="2" t="n">
        <f aca="false">'Lista 1'!G34</f>
        <v>9.5</v>
      </c>
      <c r="I34" s="2" t="n">
        <f aca="false">10</f>
        <v>10</v>
      </c>
      <c r="J34" s="2" t="n">
        <f aca="false">SUM(H34:I34)/2</f>
        <v>9.75</v>
      </c>
      <c r="K34" s="2" t="n">
        <f aca="false">'Prova 1'!B34/10</f>
        <v>3.6</v>
      </c>
      <c r="L34" s="10" t="n">
        <f aca="false">_xlfn.FLOOR.MATH(10*((SUM(D34*0.2,G34*0.05,J34*0.05,K34)*(6/5))*(20/43) + (138/43)))/10</f>
        <v>6.8</v>
      </c>
    </row>
    <row r="35" customFormat="false" ht="15.75" hidden="false" customHeight="false" outlineLevel="0" collapsed="false">
      <c r="A35" s="9" t="s">
        <v>35</v>
      </c>
      <c r="B35" s="2" t="n">
        <f aca="false">'Teste 1'!B35</f>
        <v>0</v>
      </c>
      <c r="C35" s="2" t="n">
        <f aca="false">'Teste 2'!B35</f>
        <v>0</v>
      </c>
      <c r="D35" s="2" t="n">
        <f aca="false">SUM(B35:C35)/2</f>
        <v>0</v>
      </c>
      <c r="E35" s="2" t="n">
        <f aca="false">'Lista 1'!B35</f>
        <v>0</v>
      </c>
      <c r="F35" s="2" t="n">
        <f aca="false">'Lista 2'!B35</f>
        <v>0</v>
      </c>
      <c r="G35" s="2" t="n">
        <f aca="false">SUM(E35:F35)*5</f>
        <v>0</v>
      </c>
      <c r="H35" s="2" t="n">
        <f aca="false">'Lista 1'!G35</f>
        <v>0</v>
      </c>
      <c r="I35" s="2" t="n">
        <v>0</v>
      </c>
      <c r="J35" s="2" t="n">
        <f aca="false">SUM(H35:I35)/2</f>
        <v>0</v>
      </c>
      <c r="K35" s="2" t="n">
        <f aca="false">'Prova 1'!B35/10</f>
        <v>0</v>
      </c>
      <c r="L35" s="8" t="n">
        <v>0</v>
      </c>
    </row>
    <row r="36" customFormat="false" ht="15.75" hidden="false" customHeight="false" outlineLevel="0" collapsed="false">
      <c r="A36" s="9" t="s">
        <v>36</v>
      </c>
      <c r="B36" s="2" t="n">
        <f aca="false">'Teste 1'!B36</f>
        <v>10</v>
      </c>
      <c r="C36" s="2" t="n">
        <f aca="false">'Teste 2'!B36</f>
        <v>10</v>
      </c>
      <c r="D36" s="2" t="n">
        <f aca="false">SUM(B36:C36)/2</f>
        <v>10</v>
      </c>
      <c r="E36" s="2" t="n">
        <f aca="false">'Lista 1'!B36</f>
        <v>1</v>
      </c>
      <c r="F36" s="2" t="n">
        <f aca="false">'Lista 2'!B36</f>
        <v>0</v>
      </c>
      <c r="G36" s="2" t="n">
        <f aca="false">SUM(E36:F36)*5</f>
        <v>5</v>
      </c>
      <c r="H36" s="2" t="n">
        <f aca="false">'Lista 1'!G36</f>
        <v>10</v>
      </c>
      <c r="I36" s="2" t="n">
        <v>0</v>
      </c>
      <c r="J36" s="2" t="n">
        <f aca="false">SUM(H36:I36)/2</f>
        <v>5</v>
      </c>
      <c r="K36" s="2" t="n">
        <f aca="false">'Prova 1'!B36/10</f>
        <v>5</v>
      </c>
      <c r="L36" s="10" t="n">
        <f aca="false">_xlfn.FLOOR.MATH(10*((SUM(D36*0.2,G36*0.05,J36*0.05,K36)*(6/5))*(20/43) + (138/43)))/10</f>
        <v>7.3</v>
      </c>
    </row>
    <row r="37" customFormat="false" ht="15.75" hidden="false" customHeight="false" outlineLevel="0" collapsed="false">
      <c r="A37" s="9" t="s">
        <v>37</v>
      </c>
      <c r="B37" s="2" t="n">
        <f aca="false">'Teste 1'!B37</f>
        <v>8</v>
      </c>
      <c r="C37" s="2" t="n">
        <f aca="false">'Teste 2'!B37</f>
        <v>10</v>
      </c>
      <c r="D37" s="2" t="n">
        <f aca="false">SUM(B37:C37)/2</f>
        <v>9</v>
      </c>
      <c r="E37" s="2" t="n">
        <f aca="false">'Lista 1'!B37</f>
        <v>1</v>
      </c>
      <c r="F37" s="2" t="n">
        <f aca="false">'Lista 2'!B37</f>
        <v>1</v>
      </c>
      <c r="G37" s="2" t="n">
        <f aca="false">SUM(E37:F37)*5</f>
        <v>10</v>
      </c>
      <c r="H37" s="2" t="n">
        <f aca="false">'Lista 1'!G37</f>
        <v>10</v>
      </c>
      <c r="I37" s="2" t="n">
        <f aca="false">10</f>
        <v>10</v>
      </c>
      <c r="J37" s="2" t="n">
        <f aca="false">SUM(H37:I37)/2</f>
        <v>10</v>
      </c>
      <c r="K37" s="2" t="n">
        <f aca="false">'Prova 1'!B37/10</f>
        <v>2</v>
      </c>
      <c r="L37" s="8" t="n">
        <f aca="false">_xlfn.FLOOR.MATH(10*((SUM(D37*0.2,G37*0.05,J37*0.05,K37)*(6/5))*(20/43) + (138/43)))/10</f>
        <v>5.8</v>
      </c>
    </row>
    <row r="38" customFormat="false" ht="15.75" hidden="false" customHeight="false" outlineLevel="0" collapsed="false">
      <c r="A38" s="9" t="s">
        <v>38</v>
      </c>
      <c r="B38" s="2" t="n">
        <f aca="false">'Teste 1'!B38</f>
        <v>10</v>
      </c>
      <c r="C38" s="2" t="n">
        <f aca="false">'Teste 2'!B38</f>
        <v>10</v>
      </c>
      <c r="D38" s="2" t="n">
        <f aca="false">SUM(B38:C38)/2</f>
        <v>10</v>
      </c>
      <c r="E38" s="2" t="n">
        <f aca="false">'Lista 1'!B38</f>
        <v>1</v>
      </c>
      <c r="F38" s="2" t="n">
        <f aca="false">'Lista 2'!B38</f>
        <v>1</v>
      </c>
      <c r="G38" s="2" t="n">
        <f aca="false">SUM(E38:F38)*5</f>
        <v>10</v>
      </c>
      <c r="H38" s="2" t="n">
        <f aca="false">'Lista 1'!G38</f>
        <v>10</v>
      </c>
      <c r="I38" s="2" t="n">
        <f aca="false">10</f>
        <v>10</v>
      </c>
      <c r="J38" s="2" t="n">
        <f aca="false">SUM(H38:I38)/2</f>
        <v>10</v>
      </c>
      <c r="K38" s="2" t="n">
        <f aca="false">'Prova 1'!B38/10</f>
        <v>8.8</v>
      </c>
      <c r="L38" s="10" t="n">
        <f aca="false">_xlfn.FLOOR.MATH(10*((SUM(D38*0.2,G38*0.05,J38*0.05,K38)*(6/5))*(20/43) + (138/43)))/10</f>
        <v>9.7</v>
      </c>
    </row>
    <row r="39" customFormat="false" ht="15.75" hidden="false" customHeight="false" outlineLevel="0" collapsed="false">
      <c r="A39" s="9" t="s">
        <v>39</v>
      </c>
      <c r="B39" s="2" t="n">
        <f aca="false">'Teste 1'!B39</f>
        <v>10</v>
      </c>
      <c r="C39" s="2" t="n">
        <f aca="false">'Teste 2'!B39</f>
        <v>10</v>
      </c>
      <c r="D39" s="2" t="n">
        <f aca="false">SUM(B39:C39)/2</f>
        <v>10</v>
      </c>
      <c r="E39" s="2" t="n">
        <f aca="false">'Lista 1'!B39</f>
        <v>1</v>
      </c>
      <c r="F39" s="2" t="n">
        <f aca="false">'Lista 2'!B39</f>
        <v>0</v>
      </c>
      <c r="G39" s="2" t="n">
        <f aca="false">SUM(E39:F39)*5</f>
        <v>5</v>
      </c>
      <c r="H39" s="2" t="n">
        <f aca="false">'Lista 1'!G39</f>
        <v>10</v>
      </c>
      <c r="I39" s="2" t="n">
        <v>0</v>
      </c>
      <c r="J39" s="2" t="n">
        <f aca="false">SUM(H39:I39)/2</f>
        <v>5</v>
      </c>
      <c r="K39" s="2" t="n">
        <f aca="false">'Prova 1'!B39/10</f>
        <v>2.4</v>
      </c>
      <c r="L39" s="10" t="n">
        <v>6</v>
      </c>
    </row>
    <row r="40" customFormat="false" ht="15.75" hidden="false" customHeight="false" outlineLevel="0" collapsed="false">
      <c r="A40" s="9" t="s">
        <v>40</v>
      </c>
      <c r="B40" s="2" t="n">
        <f aca="false">'Teste 1'!B40</f>
        <v>10</v>
      </c>
      <c r="C40" s="2" t="n">
        <f aca="false">'Teste 2'!B40</f>
        <v>10</v>
      </c>
      <c r="D40" s="2" t="n">
        <f aca="false">SUM(B40:C40)/2</f>
        <v>10</v>
      </c>
      <c r="E40" s="2" t="n">
        <f aca="false">'Lista 1'!B40</f>
        <v>1</v>
      </c>
      <c r="F40" s="2" t="n">
        <f aca="false">'Lista 2'!B40</f>
        <v>1</v>
      </c>
      <c r="G40" s="2" t="n">
        <f aca="false">SUM(E40:F40)*5</f>
        <v>10</v>
      </c>
      <c r="H40" s="2" t="n">
        <f aca="false">'Lista 1'!G40</f>
        <v>10</v>
      </c>
      <c r="I40" s="2" t="n">
        <f aca="false">10</f>
        <v>10</v>
      </c>
      <c r="J40" s="2" t="n">
        <f aca="false">SUM(H40:I40)/2</f>
        <v>10</v>
      </c>
      <c r="K40" s="2" t="n">
        <f aca="false">'Prova 1'!B40/10</f>
        <v>7.6</v>
      </c>
      <c r="L40" s="10" t="n">
        <f aca="false">_xlfn.FLOOR.MATH(10*((SUM(D40*0.2,G40*0.05,J40*0.05,K40)*(6/5))*(20/43) + (138/43)))/10</f>
        <v>9.1</v>
      </c>
    </row>
    <row r="41" customFormat="false" ht="15.75" hidden="false" customHeight="false" outlineLevel="0" collapsed="false">
      <c r="A41" s="9" t="s">
        <v>41</v>
      </c>
      <c r="B41" s="2" t="n">
        <f aca="false">'Teste 1'!B41</f>
        <v>10</v>
      </c>
      <c r="C41" s="2" t="n">
        <f aca="false">'Teste 2'!B41</f>
        <v>10</v>
      </c>
      <c r="D41" s="2" t="n">
        <f aca="false">SUM(B41:C41)/2</f>
        <v>10</v>
      </c>
      <c r="E41" s="2" t="n">
        <f aca="false">'Lista 1'!B41</f>
        <v>1</v>
      </c>
      <c r="F41" s="2" t="n">
        <f aca="false">'Lista 2'!B41</f>
        <v>1</v>
      </c>
      <c r="G41" s="2" t="n">
        <f aca="false">SUM(E41:F41)*5</f>
        <v>10</v>
      </c>
      <c r="H41" s="2" t="n">
        <f aca="false">'Lista 1'!G41</f>
        <v>10</v>
      </c>
      <c r="I41" s="2" t="n">
        <f aca="false">10</f>
        <v>10</v>
      </c>
      <c r="J41" s="2" t="n">
        <f aca="false">SUM(H41:I41)/2</f>
        <v>10</v>
      </c>
      <c r="K41" s="2" t="n">
        <f aca="false">'Prova 1'!B41/10</f>
        <v>4.2</v>
      </c>
      <c r="L41" s="10" t="n">
        <f aca="false">_xlfn.FLOOR.MATH(10*((SUM(D41*0.2,G41*0.05,J41*0.05,K41)*(6/5))*(20/43) + (138/43)))/10</f>
        <v>7.2</v>
      </c>
    </row>
    <row r="42" customFormat="false" ht="15.75" hidden="false" customHeight="false" outlineLevel="0" collapsed="false">
      <c r="A42" s="9" t="s">
        <v>42</v>
      </c>
      <c r="B42" s="2" t="n">
        <f aca="false">'Teste 1'!B42</f>
        <v>8</v>
      </c>
      <c r="C42" s="2" t="n">
        <f aca="false">'Teste 2'!B42</f>
        <v>10</v>
      </c>
      <c r="D42" s="2" t="n">
        <f aca="false">SUM(B42:C42)/2</f>
        <v>9</v>
      </c>
      <c r="E42" s="2" t="n">
        <f aca="false">'Lista 1'!B42</f>
        <v>1</v>
      </c>
      <c r="F42" s="2" t="n">
        <f aca="false">'Lista 2'!B42</f>
        <v>1</v>
      </c>
      <c r="G42" s="2" t="n">
        <f aca="false">SUM(E42:F42)*5</f>
        <v>10</v>
      </c>
      <c r="H42" s="2" t="n">
        <f aca="false">'Lista 1'!G42</f>
        <v>10</v>
      </c>
      <c r="I42" s="2" t="n">
        <f aca="false">10</f>
        <v>10</v>
      </c>
      <c r="J42" s="2" t="n">
        <f aca="false">SUM(H42:I42)/2</f>
        <v>10</v>
      </c>
      <c r="K42" s="2" t="n">
        <f aca="false">'Prova 1'!B42/10</f>
        <v>9.5</v>
      </c>
      <c r="L42" s="10" t="n">
        <f aca="false">_xlfn.FLOOR.MATH(10*((SUM(D42*0.2,G42*0.05,J42*0.05,K42)*(6/5))*(20/43) + (138/43)))/10</f>
        <v>10</v>
      </c>
    </row>
    <row r="43" customFormat="false" ht="15.75" hidden="false" customHeight="false" outlineLevel="0" collapsed="false">
      <c r="A43" s="9" t="s">
        <v>43</v>
      </c>
      <c r="B43" s="2" t="n">
        <f aca="false">'Teste 1'!B43</f>
        <v>10</v>
      </c>
      <c r="C43" s="2" t="n">
        <f aca="false">'Teste 2'!B43</f>
        <v>8</v>
      </c>
      <c r="D43" s="2" t="n">
        <f aca="false">SUM(B43:C43)/2</f>
        <v>9</v>
      </c>
      <c r="E43" s="2" t="n">
        <f aca="false">'Lista 1'!B43</f>
        <v>1</v>
      </c>
      <c r="F43" s="2" t="n">
        <f aca="false">'Lista 2'!B43</f>
        <v>1</v>
      </c>
      <c r="G43" s="2" t="n">
        <f aca="false">SUM(E43:F43)*5</f>
        <v>10</v>
      </c>
      <c r="H43" s="2" t="n">
        <f aca="false">'Lista 1'!G43</f>
        <v>9.8</v>
      </c>
      <c r="I43" s="2" t="n">
        <f aca="false">10</f>
        <v>10</v>
      </c>
      <c r="J43" s="2" t="n">
        <f aca="false">SUM(H43:I43)/2</f>
        <v>9.9</v>
      </c>
      <c r="K43" s="2" t="n">
        <f aca="false">'Prova 1'!B43/10</f>
        <v>3</v>
      </c>
      <c r="L43" s="10" t="n">
        <f aca="false">_xlfn.FLOOR.MATH(10*((SUM(D43*0.2,G43*0.05,J43*0.05,K43)*(6/5))*(20/43) + (138/43)))/10</f>
        <v>6.4</v>
      </c>
    </row>
    <row r="44" customFormat="false" ht="15.75" hidden="false" customHeight="false" outlineLevel="0" collapsed="false">
      <c r="A44" s="9" t="s">
        <v>44</v>
      </c>
      <c r="B44" s="2" t="n">
        <f aca="false">'Teste 1'!B44</f>
        <v>10</v>
      </c>
      <c r="C44" s="2" t="n">
        <f aca="false">'Teste 2'!B44</f>
        <v>10</v>
      </c>
      <c r="D44" s="2" t="n">
        <f aca="false">SUM(B44:C44)/2</f>
        <v>10</v>
      </c>
      <c r="E44" s="2" t="n">
        <f aca="false">'Lista 1'!B44</f>
        <v>1</v>
      </c>
      <c r="F44" s="2" t="n">
        <f aca="false">'Lista 2'!B44</f>
        <v>1</v>
      </c>
      <c r="G44" s="2" t="n">
        <f aca="false">SUM(E44:F44)*5</f>
        <v>10</v>
      </c>
      <c r="H44" s="2" t="n">
        <f aca="false">'Lista 1'!G44</f>
        <v>9.5</v>
      </c>
      <c r="I44" s="2" t="n">
        <f aca="false">10</f>
        <v>10</v>
      </c>
      <c r="J44" s="2" t="n">
        <f aca="false">SUM(H44:I44)/2</f>
        <v>9.75</v>
      </c>
      <c r="K44" s="2" t="n">
        <f aca="false">'Prova 1'!B44/10</f>
        <v>5.6</v>
      </c>
      <c r="L44" s="10" t="n">
        <f aca="false">_xlfn.FLOOR.MATH(10*((SUM(D44*0.2,G44*0.05,J44*0.05,K44)*(6/5))*(20/43) + (138/43)))/10</f>
        <v>8</v>
      </c>
    </row>
    <row r="45" customFormat="false" ht="15.75" hidden="false" customHeight="false" outlineLevel="0" collapsed="false">
      <c r="A45" s="9" t="s">
        <v>45</v>
      </c>
      <c r="B45" s="2" t="n">
        <f aca="false">'Teste 1'!B45</f>
        <v>9.5</v>
      </c>
      <c r="C45" s="2" t="n">
        <f aca="false">'Teste 2'!B45</f>
        <v>5</v>
      </c>
      <c r="D45" s="2" t="n">
        <f aca="false">SUM(B45:C45)/2</f>
        <v>7.25</v>
      </c>
      <c r="E45" s="2" t="n">
        <f aca="false">'Lista 1'!B45</f>
        <v>1</v>
      </c>
      <c r="F45" s="2" t="n">
        <f aca="false">'Lista 2'!B45</f>
        <v>1</v>
      </c>
      <c r="G45" s="2" t="n">
        <f aca="false">SUM(E45:F45)*5</f>
        <v>10</v>
      </c>
      <c r="H45" s="2" t="n">
        <f aca="false">'Lista 1'!G45</f>
        <v>10</v>
      </c>
      <c r="I45" s="2" t="n">
        <f aca="false">10</f>
        <v>10</v>
      </c>
      <c r="J45" s="2" t="n">
        <f aca="false">SUM(H45:I45)/2</f>
        <v>10</v>
      </c>
      <c r="K45" s="2" t="n">
        <f aca="false">'Prova 1'!B45/10</f>
        <v>3.1</v>
      </c>
      <c r="L45" s="10" t="n">
        <f aca="false">_xlfn.FLOOR.MATH(10*((SUM(D45*0.2,G45*0.05,J45*0.05,K45)*(6/5))*(20/43) + (138/43)))/10</f>
        <v>6.3</v>
      </c>
    </row>
    <row r="46" customFormat="false" ht="15.75" hidden="false" customHeight="false" outlineLevel="0" collapsed="false">
      <c r="A46" s="9" t="s">
        <v>46</v>
      </c>
      <c r="B46" s="2" t="n">
        <f aca="false">'Teste 1'!B46</f>
        <v>10</v>
      </c>
      <c r="C46" s="2" t="n">
        <f aca="false">'Teste 2'!B46</f>
        <v>9</v>
      </c>
      <c r="D46" s="2" t="n">
        <f aca="false">SUM(B46:C46)/2</f>
        <v>9.5</v>
      </c>
      <c r="E46" s="2" t="n">
        <f aca="false">'Lista 1'!B46</f>
        <v>1</v>
      </c>
      <c r="F46" s="2" t="n">
        <f aca="false">'Lista 2'!B46</f>
        <v>1</v>
      </c>
      <c r="G46" s="2" t="n">
        <f aca="false">SUM(E46:F46)*5</f>
        <v>10</v>
      </c>
      <c r="H46" s="2" t="n">
        <f aca="false">'Lista 1'!G46</f>
        <v>10</v>
      </c>
      <c r="I46" s="2" t="n">
        <f aca="false">10</f>
        <v>10</v>
      </c>
      <c r="J46" s="2" t="n">
        <f aca="false">SUM(H46:I46)/2</f>
        <v>10</v>
      </c>
      <c r="K46" s="2" t="n">
        <f aca="false">'Prova 1'!B46/10</f>
        <v>4.9</v>
      </c>
      <c r="L46" s="10" t="n">
        <f aca="false">_xlfn.FLOOR.MATH(10*((SUM(D46*0.2,G46*0.05,J46*0.05,K46)*(6/5))*(20/43) + (138/43)))/10</f>
        <v>7.5</v>
      </c>
    </row>
    <row r="47" customFormat="false" ht="15.75" hidden="false" customHeight="false" outlineLevel="0" collapsed="false">
      <c r="A47" s="9" t="s">
        <v>47</v>
      </c>
      <c r="B47" s="2" t="n">
        <v>9</v>
      </c>
      <c r="C47" s="2" t="n">
        <f aca="false">'Teste 2'!B47</f>
        <v>9</v>
      </c>
      <c r="D47" s="2" t="n">
        <f aca="false">SUM(B47:C47)/2</f>
        <v>9</v>
      </c>
      <c r="E47" s="2" t="n">
        <v>1</v>
      </c>
      <c r="F47" s="2" t="n">
        <f aca="false">'Lista 2'!B47</f>
        <v>1</v>
      </c>
      <c r="G47" s="2" t="n">
        <f aca="false">SUM(E47:F47)*5</f>
        <v>10</v>
      </c>
      <c r="H47" s="2" t="n">
        <v>9</v>
      </c>
      <c r="I47" s="2" t="n">
        <f aca="false">10</f>
        <v>10</v>
      </c>
      <c r="J47" s="2" t="n">
        <f aca="false">SUM(H47:I47)/2</f>
        <v>9.5</v>
      </c>
      <c r="K47" s="2" t="n">
        <f aca="false">'Prova 1'!B47/10</f>
        <v>7.9</v>
      </c>
      <c r="L47" s="10" t="n">
        <v>8.4</v>
      </c>
      <c r="M47" s="11" t="s">
        <v>111</v>
      </c>
    </row>
    <row r="48" customFormat="false" ht="15.75" hidden="false" customHeight="false" outlineLevel="0" collapsed="false">
      <c r="A48" s="9" t="s">
        <v>48</v>
      </c>
      <c r="B48" s="2" t="n">
        <f aca="false">'Teste 1'!B48</f>
        <v>10</v>
      </c>
      <c r="C48" s="2" t="n">
        <f aca="false">'Teste 2'!B48</f>
        <v>7</v>
      </c>
      <c r="D48" s="2" t="n">
        <f aca="false">SUM(B48:C48)/2</f>
        <v>8.5</v>
      </c>
      <c r="E48" s="2" t="n">
        <f aca="false">'Lista 1'!B48</f>
        <v>1</v>
      </c>
      <c r="F48" s="2" t="n">
        <f aca="false">'Lista 2'!B48</f>
        <v>1</v>
      </c>
      <c r="G48" s="2" t="n">
        <f aca="false">SUM(E48:F48)*5</f>
        <v>10</v>
      </c>
      <c r="H48" s="2" t="n">
        <f aca="false">'Lista 1'!G48</f>
        <v>10</v>
      </c>
      <c r="I48" s="2" t="n">
        <f aca="false">10</f>
        <v>10</v>
      </c>
      <c r="J48" s="2" t="n">
        <f aca="false">SUM(H48:I48)/2</f>
        <v>10</v>
      </c>
      <c r="K48" s="2" t="n">
        <f aca="false">'Prova 1'!B48/10</f>
        <v>1.2</v>
      </c>
      <c r="L48" s="12" t="n">
        <f aca="false">_xlfn.FLOOR.MATH(10*((SUM(D48*0.2,G48*0.05,J48*0.05,K48)*(6/5))*(20/43) + (138/43)))/10</f>
        <v>5.3</v>
      </c>
    </row>
    <row r="49" customFormat="false" ht="15.75" hidden="false" customHeight="false" outlineLevel="0" collapsed="false">
      <c r="A49" s="9" t="s">
        <v>49</v>
      </c>
      <c r="B49" s="2" t="n">
        <f aca="false">'Teste 1'!B49</f>
        <v>7</v>
      </c>
      <c r="C49" s="2" t="n">
        <f aca="false">'Teste 2'!B49</f>
        <v>10</v>
      </c>
      <c r="D49" s="2" t="n">
        <f aca="false">SUM(B49:C49)/2</f>
        <v>8.5</v>
      </c>
      <c r="E49" s="2" t="n">
        <f aca="false">'Lista 1'!B49</f>
        <v>1</v>
      </c>
      <c r="F49" s="2" t="n">
        <f aca="false">'Lista 2'!B49</f>
        <v>1</v>
      </c>
      <c r="G49" s="2" t="n">
        <f aca="false">SUM(E49:F49)*5</f>
        <v>10</v>
      </c>
      <c r="H49" s="2" t="n">
        <f aca="false">'Lista 1'!G49</f>
        <v>9</v>
      </c>
      <c r="I49" s="2" t="n">
        <f aca="false">10</f>
        <v>10</v>
      </c>
      <c r="J49" s="2" t="n">
        <f aca="false">SUM(H49:I49)/2</f>
        <v>9.5</v>
      </c>
      <c r="K49" s="2" t="n">
        <f aca="false">'Prova 1'!B49/10</f>
        <v>2.2</v>
      </c>
      <c r="L49" s="10" t="n">
        <v>6</v>
      </c>
    </row>
    <row r="50" customFormat="false" ht="15.75" hidden="false" customHeight="false" outlineLevel="0" collapsed="false">
      <c r="A50" s="9" t="s">
        <v>50</v>
      </c>
      <c r="B50" s="2" t="n">
        <f aca="false">'Teste 1'!B50</f>
        <v>9</v>
      </c>
      <c r="C50" s="2" t="n">
        <f aca="false">'Teste 2'!B50</f>
        <v>10</v>
      </c>
      <c r="D50" s="2" t="n">
        <f aca="false">SUM(B50:C50)/2</f>
        <v>9.5</v>
      </c>
      <c r="E50" s="2" t="n">
        <f aca="false">'Lista 1'!B50</f>
        <v>1</v>
      </c>
      <c r="F50" s="2" t="n">
        <f aca="false">'Lista 2'!B50</f>
        <v>1</v>
      </c>
      <c r="G50" s="2" t="n">
        <f aca="false">SUM(E50:F50)*5</f>
        <v>10</v>
      </c>
      <c r="H50" s="2" t="n">
        <f aca="false">'Lista 1'!G50</f>
        <v>10</v>
      </c>
      <c r="I50" s="2" t="n">
        <f aca="false">10</f>
        <v>10</v>
      </c>
      <c r="J50" s="2" t="n">
        <f aca="false">SUM(H50:I50)/2</f>
        <v>10</v>
      </c>
      <c r="K50" s="2" t="n">
        <f aca="false">'Prova 1'!B50/10</f>
        <v>4.5</v>
      </c>
      <c r="L50" s="10" t="n">
        <f aca="false">_xlfn.FLOOR.MATH(10*((SUM(D50*0.2,G50*0.05,J50*0.05,K50)*(6/5))*(20/43) + (138/43)))/10</f>
        <v>7.3</v>
      </c>
    </row>
    <row r="51" customFormat="false" ht="15.75" hidden="false" customHeight="false" outlineLevel="0" collapsed="false">
      <c r="A51" s="9" t="s">
        <v>51</v>
      </c>
      <c r="B51" s="2" t="n">
        <f aca="false">'Teste 1'!B51</f>
        <v>6.5</v>
      </c>
      <c r="C51" s="2" t="n">
        <f aca="false">'Teste 2'!B51</f>
        <v>8</v>
      </c>
      <c r="D51" s="2" t="n">
        <f aca="false">SUM(B51:C51)/2</f>
        <v>7.25</v>
      </c>
      <c r="E51" s="2" t="n">
        <f aca="false">'Lista 1'!B51</f>
        <v>1</v>
      </c>
      <c r="F51" s="2" t="n">
        <f aca="false">'Lista 2'!B51</f>
        <v>1</v>
      </c>
      <c r="G51" s="2" t="n">
        <f aca="false">SUM(E51:F51)*5</f>
        <v>10</v>
      </c>
      <c r="H51" s="2" t="n">
        <f aca="false">'Lista 1'!G51</f>
        <v>10</v>
      </c>
      <c r="I51" s="2" t="n">
        <f aca="false">10</f>
        <v>10</v>
      </c>
      <c r="J51" s="2" t="n">
        <f aca="false">SUM(H51:I51)/2</f>
        <v>10</v>
      </c>
      <c r="K51" s="2" t="n">
        <f aca="false">'Prova 1'!B51/10</f>
        <v>4.1</v>
      </c>
      <c r="L51" s="10" t="n">
        <f aca="false">_xlfn.FLOOR.MATH(10*((SUM(D51*0.2,G51*0.05,J51*0.05,K51)*(6/5))*(20/43) + (138/43)))/10</f>
        <v>6.8</v>
      </c>
    </row>
    <row r="52" customFormat="false" ht="15.75" hidden="false" customHeight="false" outlineLevel="0" collapsed="false">
      <c r="A52" s="9" t="s">
        <v>52</v>
      </c>
      <c r="B52" s="2" t="n">
        <f aca="false">'Teste 1'!B52</f>
        <v>8</v>
      </c>
      <c r="C52" s="2" t="n">
        <f aca="false">'Teste 2'!B52</f>
        <v>8</v>
      </c>
      <c r="D52" s="2" t="n">
        <f aca="false">SUM(B52:C52)/2</f>
        <v>8</v>
      </c>
      <c r="E52" s="2" t="n">
        <f aca="false">'Lista 1'!B52</f>
        <v>1</v>
      </c>
      <c r="F52" s="2" t="n">
        <f aca="false">'Lista 2'!B52</f>
        <v>1</v>
      </c>
      <c r="G52" s="2" t="n">
        <f aca="false">SUM(E52:F52)*5</f>
        <v>10</v>
      </c>
      <c r="H52" s="2" t="n">
        <f aca="false">'Lista 1'!G52</f>
        <v>8</v>
      </c>
      <c r="I52" s="2" t="n">
        <f aca="false">10</f>
        <v>10</v>
      </c>
      <c r="J52" s="2" t="n">
        <f aca="false">SUM(H52:I52)/2</f>
        <v>9</v>
      </c>
      <c r="K52" s="2" t="n">
        <f aca="false">'Prova 1'!B52/10</f>
        <v>2</v>
      </c>
      <c r="L52" s="8" t="n">
        <f aca="false">_xlfn.FLOOR.MATH(10*((SUM(D52*0.2,G52*0.05,J52*0.05,K52)*(6/5))*(20/43) + (138/43)))/10</f>
        <v>5.7</v>
      </c>
    </row>
    <row r="53" customFormat="false" ht="15.75" hidden="false" customHeight="false" outlineLevel="0" collapsed="false">
      <c r="A53" s="9" t="s">
        <v>53</v>
      </c>
      <c r="B53" s="2" t="n">
        <f aca="false">'Teste 1'!B53</f>
        <v>10</v>
      </c>
      <c r="C53" s="2" t="n">
        <f aca="false">'Teste 2'!B53</f>
        <v>10</v>
      </c>
      <c r="D53" s="2" t="n">
        <f aca="false">SUM(B53:C53)/2</f>
        <v>10</v>
      </c>
      <c r="E53" s="2" t="n">
        <f aca="false">'Lista 1'!B53</f>
        <v>1</v>
      </c>
      <c r="F53" s="2" t="n">
        <f aca="false">'Lista 2'!B53</f>
        <v>1</v>
      </c>
      <c r="G53" s="2" t="n">
        <f aca="false">SUM(E53:F53)*5</f>
        <v>10</v>
      </c>
      <c r="H53" s="2" t="n">
        <f aca="false">'Lista 1'!G53</f>
        <v>10</v>
      </c>
      <c r="I53" s="2" t="n">
        <f aca="false">10</f>
        <v>10</v>
      </c>
      <c r="J53" s="2" t="n">
        <f aca="false">SUM(H53:I53)/2</f>
        <v>10</v>
      </c>
      <c r="K53" s="2" t="n">
        <f aca="false">'Prova 1'!B53/10</f>
        <v>1.8</v>
      </c>
      <c r="L53" s="8" t="n">
        <f aca="false">_xlfn.FLOOR.MATH(10*((SUM(D53*0.2,G53*0.05,J53*0.05,K53)*(6/5))*(20/43) + (138/43)))/10</f>
        <v>5.8</v>
      </c>
    </row>
    <row r="54" customFormat="false" ht="15.75" hidden="false" customHeight="false" outlineLevel="0" collapsed="false">
      <c r="A54" s="9" t="s">
        <v>54</v>
      </c>
      <c r="B54" s="2" t="n">
        <v>10</v>
      </c>
      <c r="C54" s="2" t="n">
        <f aca="false">'Teste 2'!B54</f>
        <v>10</v>
      </c>
      <c r="D54" s="2" t="n">
        <f aca="false">SUM(B54:C54)/2</f>
        <v>10</v>
      </c>
      <c r="E54" s="2" t="n">
        <f aca="false">'Lista 1'!B54</f>
        <v>1</v>
      </c>
      <c r="F54" s="2" t="n">
        <f aca="false">'Lista 2'!B54</f>
        <v>1</v>
      </c>
      <c r="G54" s="2" t="n">
        <f aca="false">SUM(E54:F54)*5</f>
        <v>10</v>
      </c>
      <c r="H54" s="2" t="n">
        <f aca="false">'Lista 1'!G54</f>
        <v>10</v>
      </c>
      <c r="I54" s="2" t="n">
        <f aca="false">10</f>
        <v>10</v>
      </c>
      <c r="J54" s="2" t="n">
        <f aca="false">SUM(H54:I54)/2</f>
        <v>10</v>
      </c>
      <c r="K54" s="2" t="n">
        <f aca="false">'Prova 1'!B54/10</f>
        <v>4.3</v>
      </c>
      <c r="L54" s="10" t="n">
        <v>6.7</v>
      </c>
      <c r="M54" s="11" t="s">
        <v>112</v>
      </c>
    </row>
    <row r="55" customFormat="false" ht="15.75" hidden="false" customHeight="false" outlineLevel="0" collapsed="false">
      <c r="A55" s="9" t="s">
        <v>55</v>
      </c>
      <c r="B55" s="2" t="n">
        <f aca="false">'Teste 1'!B55</f>
        <v>10</v>
      </c>
      <c r="C55" s="2" t="n">
        <f aca="false">'Teste 2'!B55</f>
        <v>10</v>
      </c>
      <c r="D55" s="2" t="n">
        <f aca="false">SUM(B55:C55)/2</f>
        <v>10</v>
      </c>
      <c r="E55" s="2" t="n">
        <f aca="false">'Lista 1'!B55</f>
        <v>1</v>
      </c>
      <c r="F55" s="2" t="n">
        <f aca="false">'Lista 2'!B55</f>
        <v>1</v>
      </c>
      <c r="G55" s="2" t="n">
        <f aca="false">SUM(E55:F55)*5</f>
        <v>10</v>
      </c>
      <c r="H55" s="2" t="n">
        <f aca="false">'Lista 1'!G55</f>
        <v>10</v>
      </c>
      <c r="I55" s="2" t="n">
        <f aca="false">10</f>
        <v>10</v>
      </c>
      <c r="J55" s="2" t="n">
        <f aca="false">SUM(H55:I55)/2</f>
        <v>10</v>
      </c>
      <c r="K55" s="2" t="n">
        <f aca="false">'Prova 1'!B55/10</f>
        <v>6.4</v>
      </c>
      <c r="L55" s="10" t="n">
        <f aca="false">_xlfn.FLOOR.MATH(10*((SUM(D55*0.2,G55*0.05,J55*0.05,K55)*(6/5))*(20/43) + (138/43)))/10</f>
        <v>8.4</v>
      </c>
    </row>
    <row r="56" customFormat="false" ht="15.75" hidden="false" customHeight="false" outlineLevel="0" collapsed="false">
      <c r="A56" s="9" t="s">
        <v>56</v>
      </c>
      <c r="B56" s="2" t="n">
        <f aca="false">'Teste 1'!B56</f>
        <v>10</v>
      </c>
      <c r="C56" s="2" t="n">
        <f aca="false">'Teste 2'!B56</f>
        <v>10</v>
      </c>
      <c r="D56" s="2" t="n">
        <f aca="false">SUM(B56:C56)/2</f>
        <v>10</v>
      </c>
      <c r="E56" s="2" t="n">
        <f aca="false">'Lista 1'!B56</f>
        <v>1</v>
      </c>
      <c r="F56" s="2" t="n">
        <f aca="false">'Lista 2'!B56</f>
        <v>1</v>
      </c>
      <c r="G56" s="2" t="n">
        <f aca="false">SUM(E56:F56)*5</f>
        <v>10</v>
      </c>
      <c r="H56" s="2" t="n">
        <f aca="false">'Lista 1'!G56</f>
        <v>9.3</v>
      </c>
      <c r="I56" s="2" t="n">
        <f aca="false">10</f>
        <v>10</v>
      </c>
      <c r="J56" s="2" t="n">
        <f aca="false">SUM(H56:I56)/2</f>
        <v>9.65</v>
      </c>
      <c r="K56" s="2" t="n">
        <f aca="false">'Prova 1'!B56/10</f>
        <v>4.8</v>
      </c>
      <c r="L56" s="10" t="n">
        <f aca="false">_xlfn.FLOOR.MATH(10*((SUM(D56*0.2,G56*0.05,J56*0.05,K56)*(6/5))*(20/43) + (138/43)))/10</f>
        <v>7.5</v>
      </c>
    </row>
    <row r="57" customFormat="false" ht="15.75" hidden="false" customHeight="false" outlineLevel="0" collapsed="false">
      <c r="A57" s="9" t="s">
        <v>57</v>
      </c>
      <c r="B57" s="2" t="n">
        <f aca="false">'Teste 1'!B57</f>
        <v>10</v>
      </c>
      <c r="C57" s="2" t="n">
        <f aca="false">'Teste 2'!B57</f>
        <v>10</v>
      </c>
      <c r="D57" s="2" t="n">
        <f aca="false">SUM(B57:C57)/2</f>
        <v>10</v>
      </c>
      <c r="E57" s="2" t="n">
        <f aca="false">'Lista 1'!B57</f>
        <v>1</v>
      </c>
      <c r="F57" s="2" t="n">
        <f aca="false">'Lista 2'!B57</f>
        <v>1</v>
      </c>
      <c r="G57" s="2" t="n">
        <f aca="false">SUM(E57:F57)*5</f>
        <v>10</v>
      </c>
      <c r="H57" s="2" t="n">
        <f aca="false">'Lista 1'!G57</f>
        <v>10</v>
      </c>
      <c r="I57" s="2" t="n">
        <f aca="false">10</f>
        <v>10</v>
      </c>
      <c r="J57" s="2" t="n">
        <f aca="false">SUM(H57:I57)/2</f>
        <v>10</v>
      </c>
      <c r="K57" s="2" t="n">
        <f aca="false">'Prova 1'!B57/10</f>
        <v>4.4</v>
      </c>
      <c r="L57" s="10" t="n">
        <f aca="false">_xlfn.FLOOR.MATH(10*((SUM(D57*0.2,G57*0.05,J57*0.05,K57)*(6/5))*(20/43) + (138/43)))/10</f>
        <v>7.3</v>
      </c>
    </row>
    <row r="58" customFormat="false" ht="15.75" hidden="false" customHeight="false" outlineLevel="0" collapsed="false">
      <c r="A58" s="9" t="s">
        <v>58</v>
      </c>
      <c r="B58" s="2" t="n">
        <f aca="false">'Teste 1'!B58</f>
        <v>9</v>
      </c>
      <c r="C58" s="2" t="n">
        <f aca="false">'Teste 2'!B58</f>
        <v>10</v>
      </c>
      <c r="D58" s="2" t="n">
        <f aca="false">SUM(B58:C58)/2</f>
        <v>9.5</v>
      </c>
      <c r="E58" s="2" t="n">
        <f aca="false">'Lista 1'!B58</f>
        <v>1</v>
      </c>
      <c r="F58" s="2" t="n">
        <f aca="false">'Lista 2'!B58</f>
        <v>1</v>
      </c>
      <c r="G58" s="2" t="n">
        <f aca="false">SUM(E58:F58)*5</f>
        <v>10</v>
      </c>
      <c r="H58" s="2" t="n">
        <f aca="false">'Lista 1'!G58</f>
        <v>10</v>
      </c>
      <c r="I58" s="2" t="n">
        <f aca="false">10</f>
        <v>10</v>
      </c>
      <c r="J58" s="2" t="n">
        <f aca="false">SUM(H58:I58)/2</f>
        <v>10</v>
      </c>
      <c r="K58" s="2" t="n">
        <f aca="false">'Prova 1'!B58/10</f>
        <v>6.1</v>
      </c>
      <c r="L58" s="10" t="n">
        <f aca="false">_xlfn.FLOOR.MATH(10*((SUM(D58*0.2,G58*0.05,J58*0.05,K58)*(6/5))*(20/43) + (138/43)))/10</f>
        <v>8.2</v>
      </c>
    </row>
    <row r="59" customFormat="false" ht="15.75" hidden="false" customHeight="false" outlineLevel="0" collapsed="false">
      <c r="A59" s="9" t="s">
        <v>59</v>
      </c>
      <c r="B59" s="2" t="n">
        <f aca="false">'Teste 1'!B59</f>
        <v>10</v>
      </c>
      <c r="C59" s="2" t="n">
        <f aca="false">'Teste 2'!B59</f>
        <v>10</v>
      </c>
      <c r="D59" s="2" t="n">
        <f aca="false">SUM(B59:C59)/2</f>
        <v>10</v>
      </c>
      <c r="E59" s="2" t="n">
        <f aca="false">'Lista 1'!B59</f>
        <v>1</v>
      </c>
      <c r="F59" s="2" t="n">
        <f aca="false">'Lista 2'!B59</f>
        <v>1</v>
      </c>
      <c r="G59" s="2" t="n">
        <f aca="false">SUM(E59:F59)*5</f>
        <v>10</v>
      </c>
      <c r="H59" s="2" t="n">
        <f aca="false">'Lista 1'!G59</f>
        <v>9.8</v>
      </c>
      <c r="I59" s="2" t="n">
        <f aca="false">10</f>
        <v>10</v>
      </c>
      <c r="J59" s="2" t="n">
        <f aca="false">SUM(H59:I59)/2</f>
        <v>9.9</v>
      </c>
      <c r="K59" s="2" t="n">
        <f aca="false">'Prova 1'!B59/10</f>
        <v>4.4</v>
      </c>
      <c r="L59" s="10" t="n">
        <f aca="false">_xlfn.FLOOR.MATH(10*((SUM(D59*0.2,G59*0.05,J59*0.05,K59)*(6/5))*(20/43) + (138/43)))/10</f>
        <v>7.3</v>
      </c>
    </row>
    <row r="60" customFormat="false" ht="15.75" hidden="false" customHeight="false" outlineLevel="0" collapsed="false">
      <c r="A60" s="9" t="s">
        <v>60</v>
      </c>
      <c r="B60" s="2" t="n">
        <f aca="false">'Teste 1'!B60</f>
        <v>10</v>
      </c>
      <c r="C60" s="2" t="n">
        <f aca="false">'Teste 2'!B60</f>
        <v>9</v>
      </c>
      <c r="D60" s="2" t="n">
        <f aca="false">SUM(B60:C60)/2</f>
        <v>9.5</v>
      </c>
      <c r="E60" s="2" t="n">
        <f aca="false">'Lista 1'!B60</f>
        <v>1</v>
      </c>
      <c r="F60" s="2" t="n">
        <f aca="false">'Lista 2'!B60</f>
        <v>1</v>
      </c>
      <c r="G60" s="2" t="n">
        <f aca="false">SUM(E60:F60)*5</f>
        <v>10</v>
      </c>
      <c r="H60" s="2" t="n">
        <f aca="false">'Lista 1'!G60</f>
        <v>9.5</v>
      </c>
      <c r="I60" s="2" t="n">
        <f aca="false">10</f>
        <v>10</v>
      </c>
      <c r="J60" s="2" t="n">
        <f aca="false">SUM(H60:I60)/2</f>
        <v>9.75</v>
      </c>
      <c r="K60" s="2" t="n">
        <f aca="false">'Prova 1'!B60/10</f>
        <v>2.8</v>
      </c>
      <c r="L60" s="10" t="n">
        <f aca="false">_xlfn.FLOOR.MATH(10*((SUM(D60*0.2,G60*0.05,J60*0.05,K60)*(6/5))*(20/43) + (138/43)))/10</f>
        <v>6.3</v>
      </c>
    </row>
    <row r="61" customFormat="false" ht="15.75" hidden="false" customHeight="false" outlineLevel="0" collapsed="false">
      <c r="A61" s="9" t="s">
        <v>61</v>
      </c>
      <c r="B61" s="2" t="n">
        <f aca="false">'Teste 1'!B61</f>
        <v>10</v>
      </c>
      <c r="C61" s="2" t="n">
        <f aca="false">'Teste 2'!B61</f>
        <v>10</v>
      </c>
      <c r="D61" s="2" t="n">
        <f aca="false">SUM(B61:C61)/2</f>
        <v>10</v>
      </c>
      <c r="E61" s="2" t="n">
        <f aca="false">'Lista 1'!B61</f>
        <v>1</v>
      </c>
      <c r="F61" s="2" t="n">
        <f aca="false">'Lista 2'!B61</f>
        <v>1</v>
      </c>
      <c r="G61" s="2" t="n">
        <f aca="false">SUM(E61:F61)*5</f>
        <v>10</v>
      </c>
      <c r="H61" s="2" t="n">
        <f aca="false">'Lista 1'!G61</f>
        <v>8.8</v>
      </c>
      <c r="I61" s="2" t="n">
        <f aca="false">10</f>
        <v>10</v>
      </c>
      <c r="J61" s="2" t="n">
        <f aca="false">SUM(H61:I61)/2</f>
        <v>9.4</v>
      </c>
      <c r="K61" s="2" t="n">
        <f aca="false">'Prova 1'!B61/10</f>
        <v>6.5</v>
      </c>
      <c r="L61" s="10" t="n">
        <f aca="false">_xlfn.FLOOR.MATH(10*((SUM(D61*0.2,G61*0.05,J61*0.05,K61)*(6/5))*(20/43) + (138/43)))/10</f>
        <v>8.4</v>
      </c>
    </row>
    <row r="62" customFormat="false" ht="15.75" hidden="false" customHeight="false" outlineLevel="0" collapsed="false">
      <c r="A62" s="9" t="s">
        <v>62</v>
      </c>
      <c r="B62" s="2" t="n">
        <f aca="false">'Teste 1'!B62</f>
        <v>10</v>
      </c>
      <c r="C62" s="2" t="n">
        <f aca="false">'Teste 2'!B62</f>
        <v>10</v>
      </c>
      <c r="D62" s="2" t="n">
        <f aca="false">SUM(B62:C62)/2</f>
        <v>10</v>
      </c>
      <c r="E62" s="2" t="n">
        <f aca="false">'Lista 1'!B62</f>
        <v>1</v>
      </c>
      <c r="F62" s="2" t="n">
        <f aca="false">'Lista 2'!B62</f>
        <v>1</v>
      </c>
      <c r="G62" s="2" t="n">
        <f aca="false">SUM(E62:F62)*5</f>
        <v>10</v>
      </c>
      <c r="H62" s="2" t="n">
        <f aca="false">'Lista 1'!G62</f>
        <v>9</v>
      </c>
      <c r="I62" s="2" t="n">
        <f aca="false">10</f>
        <v>10</v>
      </c>
      <c r="J62" s="2" t="n">
        <f aca="false">SUM(H62:I62)/2</f>
        <v>9.5</v>
      </c>
      <c r="K62" s="2" t="n">
        <f aca="false">'Prova 1'!B62/10</f>
        <v>6.8</v>
      </c>
      <c r="L62" s="10" t="n">
        <f aca="false">_xlfn.FLOOR.MATH(10*((SUM(D62*0.2,G62*0.05,J62*0.05,K62)*(6/5))*(20/43) + (138/43)))/10</f>
        <v>8.6</v>
      </c>
    </row>
    <row r="63" customFormat="false" ht="15.75" hidden="false" customHeight="false" outlineLevel="0" collapsed="false">
      <c r="A63" s="9" t="s">
        <v>63</v>
      </c>
      <c r="B63" s="2" t="n">
        <f aca="false">'Teste 1'!B63</f>
        <v>10</v>
      </c>
      <c r="C63" s="2" t="n">
        <f aca="false">'Teste 2'!B63</f>
        <v>8</v>
      </c>
      <c r="D63" s="2" t="n">
        <f aca="false">SUM(B63:C63)/2</f>
        <v>9</v>
      </c>
      <c r="E63" s="2" t="n">
        <f aca="false">'Lista 1'!B63</f>
        <v>1</v>
      </c>
      <c r="F63" s="2" t="n">
        <f aca="false">'Lista 2'!B63</f>
        <v>1</v>
      </c>
      <c r="G63" s="2" t="n">
        <f aca="false">SUM(E63:F63)*5</f>
        <v>10</v>
      </c>
      <c r="H63" s="2" t="n">
        <f aca="false">'Lista 1'!G63</f>
        <v>10</v>
      </c>
      <c r="I63" s="2" t="n">
        <f aca="false">10</f>
        <v>10</v>
      </c>
      <c r="J63" s="2" t="n">
        <f aca="false">SUM(H63:I63)/2</f>
        <v>10</v>
      </c>
      <c r="K63" s="2" t="n">
        <f aca="false">'Prova 1'!B63/10</f>
        <v>3.4</v>
      </c>
      <c r="L63" s="10" t="n">
        <f aca="false">_xlfn.FLOOR.MATH(10*((SUM(D63*0.2,G63*0.05,J63*0.05,K63)*(6/5))*(20/43) + (138/43)))/10</f>
        <v>6.6</v>
      </c>
    </row>
    <row r="64" customFormat="false" ht="15.75" hidden="false" customHeight="false" outlineLevel="0" collapsed="false">
      <c r="A64" s="9" t="s">
        <v>64</v>
      </c>
      <c r="B64" s="2" t="n">
        <f aca="false">'Teste 1'!B64</f>
        <v>0</v>
      </c>
      <c r="C64" s="2" t="n">
        <f aca="false">'Teste 2'!B64</f>
        <v>0</v>
      </c>
      <c r="D64" s="2" t="n">
        <f aca="false">SUM(B64:C64)/2</f>
        <v>0</v>
      </c>
      <c r="E64" s="2" t="n">
        <f aca="false">'Lista 1'!B64</f>
        <v>0</v>
      </c>
      <c r="F64" s="2" t="n">
        <f aca="false">'Lista 2'!B64</f>
        <v>0</v>
      </c>
      <c r="G64" s="2" t="n">
        <f aca="false">SUM(E64:F64)*5</f>
        <v>0</v>
      </c>
      <c r="H64" s="2" t="n">
        <f aca="false">'Lista 1'!G64</f>
        <v>0</v>
      </c>
      <c r="I64" s="2" t="n">
        <v>0</v>
      </c>
      <c r="J64" s="2" t="n">
        <f aca="false">SUM(H64:I64)/2</f>
        <v>0</v>
      </c>
      <c r="K64" s="2" t="n">
        <f aca="false">'Prova 1'!B64/10</f>
        <v>0</v>
      </c>
      <c r="L64" s="8" t="n">
        <v>0</v>
      </c>
    </row>
    <row r="65" customFormat="false" ht="15.75" hidden="false" customHeight="false" outlineLevel="0" collapsed="false">
      <c r="A65" s="9" t="s">
        <v>65</v>
      </c>
      <c r="B65" s="2" t="n">
        <f aca="false">'Teste 1'!B65</f>
        <v>10</v>
      </c>
      <c r="C65" s="2" t="n">
        <f aca="false">'Teste 2'!B65</f>
        <v>9</v>
      </c>
      <c r="D65" s="2" t="n">
        <f aca="false">SUM(B65:C65)/2</f>
        <v>9.5</v>
      </c>
      <c r="E65" s="2" t="n">
        <f aca="false">'Lista 1'!B65</f>
        <v>1</v>
      </c>
      <c r="F65" s="2" t="n">
        <f aca="false">'Lista 2'!B65</f>
        <v>1</v>
      </c>
      <c r="G65" s="2" t="n">
        <f aca="false">SUM(E65:F65)*5</f>
        <v>10</v>
      </c>
      <c r="H65" s="2" t="n">
        <f aca="false">'Lista 1'!G65</f>
        <v>10</v>
      </c>
      <c r="I65" s="2" t="n">
        <f aca="false">10</f>
        <v>10</v>
      </c>
      <c r="J65" s="2" t="n">
        <f aca="false">SUM(H65:I65)/2</f>
        <v>10</v>
      </c>
      <c r="K65" s="2" t="n">
        <f aca="false">'Prova 1'!B65/10</f>
        <v>8.8</v>
      </c>
      <c r="L65" s="10" t="n">
        <f aca="false">_xlfn.FLOOR.MATH(10*((SUM(D65*0.2,G65*0.05,J65*0.05,K65)*(6/5))*(20/43) + (138/43)))/10</f>
        <v>9.7</v>
      </c>
    </row>
    <row r="66" customFormat="false" ht="15.75" hidden="false" customHeight="false" outlineLevel="0" collapsed="false">
      <c r="A66" s="9" t="s">
        <v>66</v>
      </c>
      <c r="B66" s="2" t="n">
        <f aca="false">'Teste 1'!B66</f>
        <v>10</v>
      </c>
      <c r="C66" s="2" t="n">
        <f aca="false">'Teste 2'!B66</f>
        <v>10</v>
      </c>
      <c r="D66" s="2" t="n">
        <f aca="false">SUM(B66:C66)/2</f>
        <v>10</v>
      </c>
      <c r="E66" s="2" t="n">
        <f aca="false">'Lista 1'!B66</f>
        <v>1</v>
      </c>
      <c r="F66" s="2" t="n">
        <f aca="false">'Lista 2'!B66</f>
        <v>1</v>
      </c>
      <c r="G66" s="2" t="n">
        <f aca="false">SUM(E66:F66)*5</f>
        <v>10</v>
      </c>
      <c r="H66" s="2" t="n">
        <f aca="false">'Lista 1'!G66</f>
        <v>9.5</v>
      </c>
      <c r="I66" s="2" t="n">
        <f aca="false">10</f>
        <v>10</v>
      </c>
      <c r="J66" s="2" t="n">
        <f aca="false">SUM(H66:I66)/2</f>
        <v>9.75</v>
      </c>
      <c r="K66" s="2" t="n">
        <f aca="false">'Prova 1'!B66/10</f>
        <v>1.7</v>
      </c>
      <c r="L66" s="8" t="n">
        <f aca="false">_xlfn.FLOOR.MATH(10*((SUM(D66*0.2,G66*0.05,J66*0.05,K66)*(6/5))*(20/43) + (138/43)))/10</f>
        <v>5.8</v>
      </c>
    </row>
    <row r="67" customFormat="false" ht="15.75" hidden="false" customHeight="false" outlineLevel="0" collapsed="false">
      <c r="A67" s="9" t="s">
        <v>67</v>
      </c>
      <c r="B67" s="2" t="n">
        <f aca="false">'Teste 1'!B67</f>
        <v>10</v>
      </c>
      <c r="C67" s="2" t="n">
        <f aca="false">'Teste 2'!B67</f>
        <v>10</v>
      </c>
      <c r="D67" s="2" t="n">
        <f aca="false">SUM(B67:C67)/2</f>
        <v>10</v>
      </c>
      <c r="E67" s="2" t="n">
        <f aca="false">'Lista 1'!B67</f>
        <v>1</v>
      </c>
      <c r="F67" s="2" t="n">
        <f aca="false">'Lista 2'!B67</f>
        <v>1</v>
      </c>
      <c r="G67" s="2" t="n">
        <f aca="false">SUM(E67:F67)*5</f>
        <v>10</v>
      </c>
      <c r="H67" s="2" t="n">
        <f aca="false">'Lista 1'!G67</f>
        <v>10</v>
      </c>
      <c r="I67" s="2" t="n">
        <f aca="false">10</f>
        <v>10</v>
      </c>
      <c r="J67" s="2" t="n">
        <f aca="false">SUM(H67:I67)/2</f>
        <v>10</v>
      </c>
      <c r="K67" s="2" t="n">
        <f aca="false">'Prova 1'!B67/10</f>
        <v>5.7</v>
      </c>
      <c r="L67" s="10" t="n">
        <f aca="false">_xlfn.FLOOR.MATH(10*((SUM(D67*0.2,G67*0.05,J67*0.05,K67)*(6/5))*(20/43) + (138/43)))/10</f>
        <v>8</v>
      </c>
    </row>
    <row r="68" customFormat="false" ht="15.75" hidden="false" customHeight="false" outlineLevel="0" collapsed="false">
      <c r="A68" s="9" t="s">
        <v>68</v>
      </c>
      <c r="B68" s="2" t="n">
        <f aca="false">'Teste 1'!B68</f>
        <v>10</v>
      </c>
      <c r="C68" s="2" t="n">
        <f aca="false">'Teste 2'!B68</f>
        <v>10</v>
      </c>
      <c r="D68" s="2" t="n">
        <f aca="false">SUM(B68:C68)/2</f>
        <v>10</v>
      </c>
      <c r="E68" s="2" t="n">
        <f aca="false">'Lista 1'!B68</f>
        <v>1</v>
      </c>
      <c r="F68" s="2" t="n">
        <f aca="false">'Lista 2'!B68</f>
        <v>1</v>
      </c>
      <c r="G68" s="2" t="n">
        <f aca="false">SUM(E68:F68)*5</f>
        <v>10</v>
      </c>
      <c r="H68" s="2" t="n">
        <f aca="false">'Lista 1'!G68</f>
        <v>9</v>
      </c>
      <c r="I68" s="2" t="n">
        <f aca="false">10</f>
        <v>10</v>
      </c>
      <c r="J68" s="2" t="n">
        <f aca="false">SUM(H68:I68)/2</f>
        <v>9.5</v>
      </c>
      <c r="K68" s="2" t="n">
        <v>1.5</v>
      </c>
      <c r="L68" s="8" t="n">
        <f aca="false">_xlfn.FLOOR.MATH(10*((SUM(D68*0.2,G68*0.05,J68*0.05,K68)*(6/5))*(20/43) + (138/43)))/10</f>
        <v>5.7</v>
      </c>
    </row>
    <row r="69" customFormat="false" ht="15.75" hidden="false" customHeight="false" outlineLevel="0" collapsed="false">
      <c r="A69" s="9" t="s">
        <v>69</v>
      </c>
      <c r="B69" s="2" t="n">
        <f aca="false">'Teste 1'!B69</f>
        <v>0</v>
      </c>
      <c r="C69" s="2" t="n">
        <f aca="false">'Teste 2'!B69</f>
        <v>0</v>
      </c>
      <c r="D69" s="2" t="n">
        <f aca="false">SUM(B69:C69)/2</f>
        <v>0</v>
      </c>
      <c r="E69" s="2" t="n">
        <f aca="false">'Lista 1'!B69</f>
        <v>0</v>
      </c>
      <c r="F69" s="2" t="n">
        <f aca="false">'Lista 2'!B69</f>
        <v>0</v>
      </c>
      <c r="G69" s="2" t="n">
        <f aca="false">SUM(E69:F69)*5</f>
        <v>0</v>
      </c>
      <c r="H69" s="2" t="n">
        <f aca="false">'Lista 1'!G69</f>
        <v>0</v>
      </c>
      <c r="I69" s="2" t="n">
        <v>0</v>
      </c>
      <c r="J69" s="2" t="n">
        <f aca="false">SUM(H69:I69)/2</f>
        <v>0</v>
      </c>
      <c r="K69" s="2" t="n">
        <f aca="false">'Prova 1'!B69/10</f>
        <v>0</v>
      </c>
      <c r="L69" s="8" t="n">
        <v>0</v>
      </c>
    </row>
    <row r="70" customFormat="false" ht="15.75" hidden="false" customHeight="false" outlineLevel="0" collapsed="false">
      <c r="A70" s="9" t="s">
        <v>70</v>
      </c>
      <c r="B70" s="2" t="n">
        <f aca="false">'Teste 1'!B70</f>
        <v>10</v>
      </c>
      <c r="C70" s="2" t="n">
        <f aca="false">'Teste 2'!B70</f>
        <v>10</v>
      </c>
      <c r="D70" s="2" t="n">
        <f aca="false">SUM(B70:C70)/2</f>
        <v>10</v>
      </c>
      <c r="E70" s="2" t="n">
        <f aca="false">'Lista 1'!B70</f>
        <v>1</v>
      </c>
      <c r="F70" s="2" t="n">
        <f aca="false">'Lista 2'!B70</f>
        <v>1</v>
      </c>
      <c r="G70" s="2" t="n">
        <f aca="false">SUM(E70:F70)*5</f>
        <v>10</v>
      </c>
      <c r="H70" s="2" t="n">
        <f aca="false">'Lista 1'!G70</f>
        <v>10</v>
      </c>
      <c r="I70" s="2" t="n">
        <f aca="false">10</f>
        <v>10</v>
      </c>
      <c r="J70" s="2" t="n">
        <f aca="false">SUM(H70:I70)/2</f>
        <v>10</v>
      </c>
      <c r="K70" s="2" t="n">
        <f aca="false">'Prova 1'!B70/10</f>
        <v>0</v>
      </c>
      <c r="L70" s="8" t="n">
        <f aca="false">_xlfn.FLOOR.MATH(10*((SUM(D70*0.2,G70*0.05,J70*0.05,K70)*(6/5))*(20/43) + (138/43)))/10</f>
        <v>4.8</v>
      </c>
    </row>
    <row r="71" customFormat="false" ht="15.75" hidden="false" customHeight="false" outlineLevel="0" collapsed="false">
      <c r="A71" s="9" t="s">
        <v>71</v>
      </c>
      <c r="B71" s="2" t="n">
        <f aca="false">'Teste 1'!B71</f>
        <v>0</v>
      </c>
      <c r="C71" s="2" t="n">
        <f aca="false">'Teste 2'!B71</f>
        <v>7</v>
      </c>
      <c r="D71" s="2" t="n">
        <f aca="false">SUM(B71:C71)/2</f>
        <v>3.5</v>
      </c>
      <c r="E71" s="2" t="n">
        <f aca="false">'Lista 1'!B71</f>
        <v>1</v>
      </c>
      <c r="F71" s="2" t="n">
        <f aca="false">'Lista 2'!B71</f>
        <v>1</v>
      </c>
      <c r="G71" s="2" t="n">
        <f aca="false">SUM(E71:F71)*5</f>
        <v>10</v>
      </c>
      <c r="H71" s="2" t="n">
        <f aca="false">'Lista 1'!G71</f>
        <v>8</v>
      </c>
      <c r="I71" s="2" t="n">
        <f aca="false">10</f>
        <v>10</v>
      </c>
      <c r="J71" s="2" t="n">
        <f aca="false">SUM(H71:I71)/2</f>
        <v>9</v>
      </c>
      <c r="K71" s="2" t="n">
        <f aca="false">'Prova 1'!B71/10</f>
        <v>2.6</v>
      </c>
      <c r="L71" s="8" t="n">
        <f aca="false">_xlfn.FLOOR.MATH(10*((SUM(D71*0.2,G71*0.05,J71*0.05,K71)*(6/5))*(20/43) + (138/43)))/10</f>
        <v>5.5</v>
      </c>
    </row>
    <row r="72" customFormat="false" ht="15.75" hidden="false" customHeight="false" outlineLevel="0" collapsed="false">
      <c r="A72" s="9" t="s">
        <v>72</v>
      </c>
      <c r="B72" s="2" t="n">
        <f aca="false">'Teste 1'!B72</f>
        <v>7</v>
      </c>
      <c r="C72" s="2" t="n">
        <f aca="false">'Teste 2'!B72</f>
        <v>10</v>
      </c>
      <c r="D72" s="2" t="n">
        <f aca="false">SUM(B72:C72)/2</f>
        <v>8.5</v>
      </c>
      <c r="E72" s="2" t="n">
        <f aca="false">'Lista 1'!B72</f>
        <v>1</v>
      </c>
      <c r="F72" s="2" t="n">
        <f aca="false">'Lista 2'!B72</f>
        <v>1</v>
      </c>
      <c r="G72" s="2" t="n">
        <f aca="false">SUM(E72:F72)*5</f>
        <v>10</v>
      </c>
      <c r="H72" s="2" t="n">
        <f aca="false">'Lista 1'!G72</f>
        <v>9</v>
      </c>
      <c r="I72" s="2" t="n">
        <f aca="false">10</f>
        <v>10</v>
      </c>
      <c r="J72" s="2" t="n">
        <f aca="false">SUM(H72:I72)/2</f>
        <v>9.5</v>
      </c>
      <c r="K72" s="2" t="n">
        <f aca="false">'Prova 1'!B72/10</f>
        <v>5.1</v>
      </c>
      <c r="L72" s="10" t="n">
        <f aca="false">_xlfn.FLOOR.MATH(10*((SUM(D72*0.2,G72*0.05,J72*0.05,K72)*(6/5))*(20/43) + (138/43)))/10</f>
        <v>7.5</v>
      </c>
    </row>
    <row r="73" customFormat="false" ht="15.75" hidden="false" customHeight="false" outlineLevel="0" collapsed="false">
      <c r="A73" s="9" t="s">
        <v>73</v>
      </c>
      <c r="B73" s="2" t="n">
        <f aca="false">'Teste 1'!B73</f>
        <v>10</v>
      </c>
      <c r="C73" s="2" t="n">
        <f aca="false">'Teste 2'!B73</f>
        <v>10</v>
      </c>
      <c r="D73" s="2" t="n">
        <f aca="false">SUM(B73:C73)/2</f>
        <v>10</v>
      </c>
      <c r="E73" s="2" t="n">
        <f aca="false">'Lista 1'!B73</f>
        <v>1</v>
      </c>
      <c r="F73" s="2" t="n">
        <f aca="false">'Lista 2'!B73</f>
        <v>1</v>
      </c>
      <c r="G73" s="2" t="n">
        <f aca="false">SUM(E73:F73)*5</f>
        <v>10</v>
      </c>
      <c r="H73" s="2" t="n">
        <f aca="false">'Lista 1'!G73</f>
        <v>10</v>
      </c>
      <c r="I73" s="2" t="n">
        <f aca="false">10</f>
        <v>10</v>
      </c>
      <c r="J73" s="2" t="n">
        <f aca="false">SUM(H73:I73)/2</f>
        <v>10</v>
      </c>
      <c r="K73" s="2" t="n">
        <f aca="false">'Prova 1'!B73/10</f>
        <v>3.9</v>
      </c>
      <c r="L73" s="10" t="n">
        <f aca="false">_xlfn.FLOOR.MATH(10*((SUM(D73*0.2,G73*0.05,J73*0.05,K73)*(6/5))*(20/43) + (138/43)))/10</f>
        <v>7</v>
      </c>
    </row>
    <row r="74" customFormat="false" ht="15.75" hidden="false" customHeight="false" outlineLevel="0" collapsed="false">
      <c r="A74" s="9" t="s">
        <v>74</v>
      </c>
      <c r="B74" s="2" t="n">
        <f aca="false">'Teste 1'!B74</f>
        <v>8</v>
      </c>
      <c r="C74" s="2" t="n">
        <f aca="false">'Teste 2'!B74</f>
        <v>6.5</v>
      </c>
      <c r="D74" s="2" t="n">
        <f aca="false">SUM(B74:C74)/2</f>
        <v>7.25</v>
      </c>
      <c r="E74" s="2" t="n">
        <f aca="false">'Lista 1'!B74</f>
        <v>1</v>
      </c>
      <c r="F74" s="2" t="n">
        <f aca="false">'Lista 2'!B74</f>
        <v>0</v>
      </c>
      <c r="G74" s="2" t="n">
        <f aca="false">SUM(E74:F74)*5</f>
        <v>5</v>
      </c>
      <c r="H74" s="2" t="n">
        <f aca="false">'Lista 1'!G74</f>
        <v>10</v>
      </c>
      <c r="I74" s="2" t="n">
        <v>0</v>
      </c>
      <c r="J74" s="2" t="n">
        <f aca="false">SUM(H74:I74)/2</f>
        <v>5</v>
      </c>
      <c r="K74" s="2" t="n">
        <f aca="false">'Prova 1'!B74/10</f>
        <v>0</v>
      </c>
      <c r="L74" s="8" t="n">
        <f aca="false">_xlfn.FLOOR.MATH(10*((SUM(D74*0.2,G74*0.05,J74*0.05,K74)*(6/5))*(20/43) + (138/43)))/10</f>
        <v>4.2</v>
      </c>
    </row>
    <row r="75" customFormat="false" ht="15.75" hidden="false" customHeight="false" outlineLevel="0" collapsed="false">
      <c r="A75" s="9" t="s">
        <v>75</v>
      </c>
      <c r="B75" s="2" t="n">
        <f aca="false">'Teste 1'!B75</f>
        <v>10</v>
      </c>
      <c r="C75" s="2" t="n">
        <f aca="false">'Teste 2'!B75</f>
        <v>9</v>
      </c>
      <c r="D75" s="2" t="n">
        <f aca="false">SUM(B75:C75)/2</f>
        <v>9.5</v>
      </c>
      <c r="E75" s="2" t="n">
        <f aca="false">'Lista 1'!B75</f>
        <v>1</v>
      </c>
      <c r="F75" s="2" t="n">
        <f aca="false">'Lista 2'!B75</f>
        <v>1</v>
      </c>
      <c r="G75" s="2" t="n">
        <f aca="false">SUM(E75:F75)*5</f>
        <v>10</v>
      </c>
      <c r="H75" s="2" t="n">
        <v>10</v>
      </c>
      <c r="I75" s="2" t="n">
        <f aca="false">10</f>
        <v>10</v>
      </c>
      <c r="J75" s="2" t="n">
        <f aca="false">SUM(H75:I75)/2</f>
        <v>10</v>
      </c>
      <c r="K75" s="2" t="n">
        <f aca="false">'Prova 1'!B75/10</f>
        <v>6.4</v>
      </c>
      <c r="L75" s="10" t="n">
        <f aca="false">_xlfn.FLOOR.MATH(10*((SUM(D75*0.2,G75*0.05,J75*0.05,K75)*(6/5))*(20/43) + (138/43)))/10</f>
        <v>8.4</v>
      </c>
    </row>
    <row r="76" customFormat="false" ht="15.75" hidden="false" customHeight="false" outlineLevel="0" collapsed="false">
      <c r="A76" s="9" t="s">
        <v>76</v>
      </c>
      <c r="B76" s="2" t="n">
        <f aca="false">'Teste 1'!B76</f>
        <v>8</v>
      </c>
      <c r="C76" s="2" t="n">
        <f aca="false">'Teste 2'!B76</f>
        <v>10</v>
      </c>
      <c r="D76" s="2" t="n">
        <f aca="false">SUM(B76:C76)/2</f>
        <v>9</v>
      </c>
      <c r="E76" s="2" t="n">
        <f aca="false">'Lista 1'!B76</f>
        <v>1</v>
      </c>
      <c r="F76" s="2" t="n">
        <f aca="false">'Lista 2'!B76</f>
        <v>1</v>
      </c>
      <c r="G76" s="2" t="n">
        <f aca="false">SUM(E76:F76)*5</f>
        <v>10</v>
      </c>
      <c r="H76" s="2" t="n">
        <f aca="false">'Lista 1'!G76</f>
        <v>10</v>
      </c>
      <c r="I76" s="2" t="n">
        <f aca="false">10</f>
        <v>10</v>
      </c>
      <c r="J76" s="2" t="n">
        <f aca="false">SUM(H76:I76)/2</f>
        <v>10</v>
      </c>
      <c r="K76" s="2" t="n">
        <f aca="false">'Prova 1'!B76/10</f>
        <v>2.7</v>
      </c>
      <c r="L76" s="10" t="n">
        <f aca="false">_xlfn.FLOOR.MATH(10*((SUM(D76*0.2,G76*0.05,J76*0.05,K76)*(6/5))*(20/43) + (138/43)))/10</f>
        <v>6.2</v>
      </c>
    </row>
    <row r="77" customFormat="false" ht="15.75" hidden="false" customHeight="false" outlineLevel="0" collapsed="false">
      <c r="A77" s="9" t="s">
        <v>77</v>
      </c>
      <c r="B77" s="2" t="n">
        <f aca="false">'Teste 1'!B77</f>
        <v>10</v>
      </c>
      <c r="C77" s="2" t="n">
        <f aca="false">'Teste 2'!B77</f>
        <v>10</v>
      </c>
      <c r="D77" s="2" t="n">
        <f aca="false">SUM(B77:C77)/2</f>
        <v>10</v>
      </c>
      <c r="E77" s="2" t="n">
        <f aca="false">'Lista 1'!B77</f>
        <v>1</v>
      </c>
      <c r="F77" s="2" t="n">
        <f aca="false">'Lista 2'!B77</f>
        <v>1</v>
      </c>
      <c r="G77" s="2" t="n">
        <f aca="false">SUM(E77:F77)*5</f>
        <v>10</v>
      </c>
      <c r="H77" s="2" t="n">
        <f aca="false">'Lista 1'!G77</f>
        <v>10</v>
      </c>
      <c r="I77" s="2" t="n">
        <f aca="false">10</f>
        <v>10</v>
      </c>
      <c r="J77" s="2" t="n">
        <f aca="false">SUM(H77:I77)/2</f>
        <v>10</v>
      </c>
      <c r="K77" s="2" t="n">
        <f aca="false">'Prova 1'!B77/10</f>
        <v>7.5</v>
      </c>
      <c r="L77" s="10" t="n">
        <f aca="false">_xlfn.FLOOR.MATH(10*((SUM(D77*0.2,G77*0.05,J77*0.05,K77)*(6/5))*(20/43) + (138/43)))/10</f>
        <v>9</v>
      </c>
    </row>
    <row r="78" customFormat="false" ht="15.75" hidden="false" customHeight="false" outlineLevel="0" collapsed="false">
      <c r="A78" s="9" t="s">
        <v>78</v>
      </c>
      <c r="B78" s="2" t="n">
        <f aca="false">'Teste 1'!B78</f>
        <v>8</v>
      </c>
      <c r="C78" s="2" t="n">
        <f aca="false">'Teste 2'!B78</f>
        <v>7.5</v>
      </c>
      <c r="D78" s="2" t="n">
        <f aca="false">SUM(B78:C78)/2</f>
        <v>7.75</v>
      </c>
      <c r="E78" s="2" t="n">
        <f aca="false">'Lista 1'!B78</f>
        <v>1</v>
      </c>
      <c r="F78" s="2" t="n">
        <f aca="false">'Lista 2'!B78</f>
        <v>1</v>
      </c>
      <c r="G78" s="2" t="n">
        <f aca="false">SUM(E78:F78)*5</f>
        <v>10</v>
      </c>
      <c r="H78" s="2" t="n">
        <f aca="false">'Lista 1'!G78</f>
        <v>9</v>
      </c>
      <c r="I78" s="2" t="n">
        <f aca="false">10</f>
        <v>10</v>
      </c>
      <c r="J78" s="2" t="n">
        <f aca="false">SUM(H78:I78)/2</f>
        <v>9.5</v>
      </c>
      <c r="K78" s="2" t="n">
        <f aca="false">'Prova 1'!B78/10</f>
        <v>2.9</v>
      </c>
      <c r="L78" s="10" t="n">
        <f aca="false">_xlfn.FLOOR.MATH(10*((SUM(D78*0.2,G78*0.05,J78*0.05,K78)*(6/5))*(20/43) + (138/43)))/10</f>
        <v>6.2</v>
      </c>
    </row>
    <row r="79" customFormat="false" ht="15.75" hidden="false" customHeight="false" outlineLevel="0" collapsed="false">
      <c r="A79" s="9" t="s">
        <v>79</v>
      </c>
      <c r="B79" s="2" t="n">
        <f aca="false">'Teste 1'!B79</f>
        <v>8.5</v>
      </c>
      <c r="C79" s="2" t="n">
        <f aca="false">'Teste 2'!B79</f>
        <v>10</v>
      </c>
      <c r="D79" s="2" t="n">
        <f aca="false">SUM(B79:C79)/2</f>
        <v>9.25</v>
      </c>
      <c r="E79" s="2" t="n">
        <f aca="false">'Lista 1'!B79</f>
        <v>1</v>
      </c>
      <c r="F79" s="2" t="n">
        <f aca="false">'Lista 2'!B79</f>
        <v>1</v>
      </c>
      <c r="G79" s="2" t="n">
        <f aca="false">SUM(E79:F79)*5</f>
        <v>10</v>
      </c>
      <c r="H79" s="2" t="n">
        <f aca="false">'Lista 1'!G79</f>
        <v>9</v>
      </c>
      <c r="I79" s="2" t="n">
        <f aca="false">10</f>
        <v>10</v>
      </c>
      <c r="J79" s="2" t="n">
        <f aca="false">SUM(H79:I79)/2</f>
        <v>9.5</v>
      </c>
      <c r="K79" s="2" t="n">
        <f aca="false">'Prova 1'!B79/10</f>
        <v>4.2</v>
      </c>
      <c r="L79" s="10" t="n">
        <f aca="false">_xlfn.FLOOR.MATH(10*((SUM(D79*0.2,G79*0.05,J79*0.05,K79)*(6/5))*(20/43) + (138/43)))/10</f>
        <v>7.1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false" showOutlineSymbols="true" defaultGridColor="true" view="normal" topLeftCell="A61" colorId="64" zoomScale="114" zoomScaleNormal="114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89"/>
    <col collapsed="false" customWidth="true" hidden="false" outlineLevel="0" max="2" min="2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s">
        <v>2</v>
      </c>
      <c r="B2" s="4"/>
    </row>
    <row r="3" customFormat="false" ht="13.8" hidden="false" customHeight="false" outlineLevel="0" collapsed="false">
      <c r="A3" s="5" t="s">
        <v>3</v>
      </c>
      <c r="B3" s="2" t="n">
        <v>0.1</v>
      </c>
    </row>
    <row r="4" customFormat="false" ht="13.8" hidden="false" customHeight="false" outlineLevel="0" collapsed="false">
      <c r="A4" s="5" t="s">
        <v>4</v>
      </c>
      <c r="B4" s="4"/>
    </row>
    <row r="5" customFormat="false" ht="13.8" hidden="false" customHeight="false" outlineLevel="0" collapsed="false">
      <c r="A5" s="5" t="s">
        <v>5</v>
      </c>
      <c r="B5" s="2" t="n">
        <v>0</v>
      </c>
    </row>
    <row r="6" customFormat="false" ht="13.8" hidden="false" customHeight="false" outlineLevel="0" collapsed="false">
      <c r="A6" s="5" t="s">
        <v>6</v>
      </c>
      <c r="B6" s="4"/>
    </row>
    <row r="7" customFormat="false" ht="13.8" hidden="false" customHeight="false" outlineLevel="0" collapsed="false">
      <c r="A7" s="5" t="s">
        <v>7</v>
      </c>
      <c r="B7" s="2" t="n">
        <v>0.05</v>
      </c>
    </row>
    <row r="8" customFormat="false" ht="13.8" hidden="false" customHeight="false" outlineLevel="0" collapsed="false">
      <c r="A8" s="5" t="s">
        <v>8</v>
      </c>
      <c r="B8" s="2" t="n">
        <v>0</v>
      </c>
    </row>
    <row r="9" customFormat="false" ht="13.8" hidden="false" customHeight="false" outlineLevel="0" collapsed="false">
      <c r="A9" s="5" t="s">
        <v>9</v>
      </c>
      <c r="B9" s="2" t="n">
        <v>0</v>
      </c>
    </row>
    <row r="10" customFormat="false" ht="13.8" hidden="false" customHeight="false" outlineLevel="0" collapsed="false">
      <c r="A10" s="5" t="s">
        <v>10</v>
      </c>
      <c r="B10" s="2" t="n">
        <v>0.05</v>
      </c>
    </row>
    <row r="11" customFormat="false" ht="13.8" hidden="false" customHeight="false" outlineLevel="0" collapsed="false">
      <c r="A11" s="5" t="s">
        <v>11</v>
      </c>
      <c r="B11" s="2" t="n">
        <v>0</v>
      </c>
    </row>
    <row r="12" customFormat="false" ht="13.8" hidden="false" customHeight="false" outlineLevel="0" collapsed="false">
      <c r="A12" s="5" t="s">
        <v>12</v>
      </c>
      <c r="B12" s="2" t="n">
        <v>0.05</v>
      </c>
    </row>
    <row r="13" customFormat="false" ht="13.8" hidden="false" customHeight="false" outlineLevel="0" collapsed="false">
      <c r="A13" s="5" t="s">
        <v>13</v>
      </c>
      <c r="B13" s="2" t="n">
        <v>0.05</v>
      </c>
    </row>
    <row r="14" customFormat="false" ht="13.8" hidden="false" customHeight="false" outlineLevel="0" collapsed="false">
      <c r="A14" s="5" t="s">
        <v>14</v>
      </c>
      <c r="B14" s="4"/>
    </row>
    <row r="15" customFormat="false" ht="13.8" hidden="false" customHeight="false" outlineLevel="0" collapsed="false">
      <c r="A15" s="5" t="s">
        <v>15</v>
      </c>
      <c r="B15" s="2" t="n">
        <v>0.05</v>
      </c>
    </row>
    <row r="16" customFormat="false" ht="13.8" hidden="false" customHeight="false" outlineLevel="0" collapsed="false">
      <c r="A16" s="5" t="s">
        <v>16</v>
      </c>
      <c r="B16" s="2" t="n">
        <v>0</v>
      </c>
    </row>
    <row r="17" customFormat="false" ht="13.8" hidden="false" customHeight="false" outlineLevel="0" collapsed="false">
      <c r="A17" s="5" t="s">
        <v>17</v>
      </c>
      <c r="B17" s="2" t="n">
        <v>0</v>
      </c>
    </row>
    <row r="18" customFormat="false" ht="13.8" hidden="false" customHeight="false" outlineLevel="0" collapsed="false">
      <c r="A18" s="5" t="s">
        <v>18</v>
      </c>
      <c r="B18" s="2" t="n">
        <v>0</v>
      </c>
    </row>
    <row r="19" customFormat="false" ht="13.8" hidden="false" customHeight="false" outlineLevel="0" collapsed="false">
      <c r="A19" s="5" t="s">
        <v>19</v>
      </c>
      <c r="B19" s="2" t="n">
        <v>0</v>
      </c>
    </row>
    <row r="20" customFormat="false" ht="13.8" hidden="false" customHeight="false" outlineLevel="0" collapsed="false">
      <c r="A20" s="5" t="s">
        <v>20</v>
      </c>
      <c r="B20" s="2" t="n">
        <v>0</v>
      </c>
    </row>
    <row r="21" customFormat="false" ht="13.8" hidden="false" customHeight="false" outlineLevel="0" collapsed="false">
      <c r="A21" s="5" t="s">
        <v>21</v>
      </c>
      <c r="B21" s="2" t="n">
        <v>0</v>
      </c>
    </row>
    <row r="22" customFormat="false" ht="13.8" hidden="false" customHeight="false" outlineLevel="0" collapsed="false">
      <c r="A22" s="5" t="s">
        <v>22</v>
      </c>
      <c r="B22" s="2" t="n">
        <v>0</v>
      </c>
    </row>
    <row r="23" customFormat="false" ht="13.8" hidden="false" customHeight="false" outlineLevel="0" collapsed="false">
      <c r="A23" s="5" t="s">
        <v>23</v>
      </c>
      <c r="B23" s="2" t="n">
        <v>0.1</v>
      </c>
    </row>
    <row r="24" customFormat="false" ht="13.8" hidden="false" customHeight="false" outlineLevel="0" collapsed="false">
      <c r="A24" s="5" t="s">
        <v>24</v>
      </c>
      <c r="B24" s="2" t="n">
        <v>0.05</v>
      </c>
    </row>
    <row r="25" customFormat="false" ht="13.8" hidden="false" customHeight="false" outlineLevel="0" collapsed="false">
      <c r="A25" s="5" t="s">
        <v>25</v>
      </c>
      <c r="B25" s="2" t="n">
        <v>0</v>
      </c>
    </row>
    <row r="26" customFormat="false" ht="13.8" hidden="false" customHeight="false" outlineLevel="0" collapsed="false">
      <c r="A26" s="5" t="s">
        <v>26</v>
      </c>
      <c r="B26" s="4"/>
    </row>
    <row r="27" customFormat="false" ht="13.8" hidden="false" customHeight="false" outlineLevel="0" collapsed="false">
      <c r="A27" s="5" t="s">
        <v>27</v>
      </c>
      <c r="B27" s="2" t="n">
        <v>0.1</v>
      </c>
    </row>
    <row r="28" customFormat="false" ht="13.8" hidden="false" customHeight="false" outlineLevel="0" collapsed="false">
      <c r="A28" s="5" t="s">
        <v>28</v>
      </c>
      <c r="B28" s="2" t="n">
        <v>0.05</v>
      </c>
    </row>
    <row r="29" customFormat="false" ht="13.8" hidden="false" customHeight="false" outlineLevel="0" collapsed="false">
      <c r="A29" s="5" t="s">
        <v>29</v>
      </c>
      <c r="B29" s="2" t="n">
        <v>0</v>
      </c>
    </row>
    <row r="30" customFormat="false" ht="13.8" hidden="false" customHeight="false" outlineLevel="0" collapsed="false">
      <c r="A30" s="5" t="s">
        <v>30</v>
      </c>
      <c r="B30" s="2" t="n">
        <v>0.05</v>
      </c>
    </row>
    <row r="31" customFormat="false" ht="13.8" hidden="false" customHeight="false" outlineLevel="0" collapsed="false">
      <c r="A31" s="5" t="s">
        <v>31</v>
      </c>
      <c r="B31" s="2" t="n">
        <v>0</v>
      </c>
    </row>
    <row r="32" customFormat="false" ht="13.8" hidden="false" customHeight="false" outlineLevel="0" collapsed="false">
      <c r="A32" s="5" t="s">
        <v>32</v>
      </c>
      <c r="B32" s="2" t="n">
        <v>0</v>
      </c>
    </row>
    <row r="33" customFormat="false" ht="13.8" hidden="false" customHeight="false" outlineLevel="0" collapsed="false">
      <c r="A33" s="5" t="s">
        <v>33</v>
      </c>
      <c r="B33" s="2" t="n">
        <v>0.08</v>
      </c>
    </row>
    <row r="34" customFormat="false" ht="13.8" hidden="false" customHeight="false" outlineLevel="0" collapsed="false">
      <c r="A34" s="5" t="s">
        <v>34</v>
      </c>
      <c r="B34" s="2" t="n">
        <v>0</v>
      </c>
    </row>
    <row r="35" customFormat="false" ht="13.8" hidden="false" customHeight="false" outlineLevel="0" collapsed="false">
      <c r="A35" s="5" t="s">
        <v>35</v>
      </c>
      <c r="B35" s="4"/>
    </row>
    <row r="36" customFormat="false" ht="13.8" hidden="false" customHeight="false" outlineLevel="0" collapsed="false">
      <c r="A36" s="5" t="s">
        <v>36</v>
      </c>
      <c r="B36" s="2" t="n">
        <v>0</v>
      </c>
    </row>
    <row r="37" customFormat="false" ht="13.8" hidden="false" customHeight="false" outlineLevel="0" collapsed="false">
      <c r="A37" s="5" t="s">
        <v>37</v>
      </c>
      <c r="B37" s="2" t="n">
        <v>0.05</v>
      </c>
    </row>
    <row r="38" customFormat="false" ht="13.8" hidden="false" customHeight="false" outlineLevel="0" collapsed="false">
      <c r="A38" s="5" t="s">
        <v>38</v>
      </c>
      <c r="B38" s="2" t="n">
        <v>0.1</v>
      </c>
    </row>
    <row r="39" customFormat="false" ht="13.8" hidden="false" customHeight="false" outlineLevel="0" collapsed="false">
      <c r="A39" s="5" t="s">
        <v>39</v>
      </c>
      <c r="B39" s="2" t="n">
        <v>0</v>
      </c>
    </row>
    <row r="40" customFormat="false" ht="13.8" hidden="false" customHeight="false" outlineLevel="0" collapsed="false">
      <c r="A40" s="5" t="s">
        <v>40</v>
      </c>
      <c r="B40" s="2" t="n">
        <v>0.1</v>
      </c>
    </row>
    <row r="41" customFormat="false" ht="13.8" hidden="false" customHeight="false" outlineLevel="0" collapsed="false">
      <c r="A41" s="5" t="s">
        <v>41</v>
      </c>
      <c r="B41" s="2" t="n">
        <v>0</v>
      </c>
    </row>
    <row r="42" customFormat="false" ht="13.8" hidden="false" customHeight="false" outlineLevel="0" collapsed="false">
      <c r="A42" s="5" t="s">
        <v>42</v>
      </c>
      <c r="B42" s="2" t="n">
        <v>0.03</v>
      </c>
    </row>
    <row r="43" customFormat="false" ht="13.8" hidden="false" customHeight="false" outlineLevel="0" collapsed="false">
      <c r="A43" s="5" t="s">
        <v>43</v>
      </c>
      <c r="B43" s="2" t="n">
        <v>0</v>
      </c>
    </row>
    <row r="44" customFormat="false" ht="13.8" hidden="false" customHeight="false" outlineLevel="0" collapsed="false">
      <c r="A44" s="5" t="s">
        <v>44</v>
      </c>
      <c r="B44" s="2" t="n">
        <v>0</v>
      </c>
    </row>
    <row r="45" customFormat="false" ht="13.8" hidden="false" customHeight="false" outlineLevel="0" collapsed="false">
      <c r="A45" s="5" t="s">
        <v>45</v>
      </c>
      <c r="B45" s="2" t="n">
        <v>0</v>
      </c>
    </row>
    <row r="46" customFormat="false" ht="13.8" hidden="false" customHeight="false" outlineLevel="0" collapsed="false">
      <c r="A46" s="5" t="s">
        <v>46</v>
      </c>
      <c r="B46" s="2" t="n">
        <v>0</v>
      </c>
    </row>
    <row r="47" customFormat="false" ht="13.8" hidden="false" customHeight="false" outlineLevel="0" collapsed="false">
      <c r="A47" s="5" t="s">
        <v>47</v>
      </c>
      <c r="B47" s="2" t="n">
        <v>0.1</v>
      </c>
    </row>
    <row r="48" customFormat="false" ht="13.8" hidden="false" customHeight="false" outlineLevel="0" collapsed="false">
      <c r="A48" s="5" t="s">
        <v>48</v>
      </c>
      <c r="B48" s="2" t="n">
        <v>0</v>
      </c>
    </row>
    <row r="49" customFormat="false" ht="13.8" hidden="false" customHeight="false" outlineLevel="0" collapsed="false">
      <c r="A49" s="5" t="s">
        <v>49</v>
      </c>
      <c r="B49" s="2" t="n">
        <v>0.05</v>
      </c>
    </row>
    <row r="50" customFormat="false" ht="13.8" hidden="false" customHeight="false" outlineLevel="0" collapsed="false">
      <c r="A50" s="5" t="s">
        <v>50</v>
      </c>
      <c r="B50" s="2" t="n">
        <v>0</v>
      </c>
    </row>
    <row r="51" customFormat="false" ht="13.8" hidden="false" customHeight="false" outlineLevel="0" collapsed="false">
      <c r="A51" s="5" t="s">
        <v>51</v>
      </c>
      <c r="B51" s="2" t="n">
        <v>0.1</v>
      </c>
    </row>
    <row r="52" customFormat="false" ht="13.8" hidden="false" customHeight="false" outlineLevel="0" collapsed="false">
      <c r="A52" s="5" t="s">
        <v>52</v>
      </c>
      <c r="B52" s="2" t="n">
        <v>0.05</v>
      </c>
    </row>
    <row r="53" customFormat="false" ht="13.8" hidden="false" customHeight="false" outlineLevel="0" collapsed="false">
      <c r="A53" s="5" t="s">
        <v>53</v>
      </c>
      <c r="B53" s="2" t="n">
        <v>0.03</v>
      </c>
    </row>
    <row r="54" customFormat="false" ht="13.8" hidden="false" customHeight="false" outlineLevel="0" collapsed="false">
      <c r="A54" s="5" t="s">
        <v>54</v>
      </c>
      <c r="B54" s="2" t="n">
        <v>0.1</v>
      </c>
    </row>
    <row r="55" customFormat="false" ht="13.8" hidden="false" customHeight="false" outlineLevel="0" collapsed="false">
      <c r="A55" s="5" t="s">
        <v>55</v>
      </c>
      <c r="B55" s="2" t="n">
        <v>0.1</v>
      </c>
    </row>
    <row r="56" customFormat="false" ht="13.8" hidden="false" customHeight="false" outlineLevel="0" collapsed="false">
      <c r="A56" s="5" t="s">
        <v>56</v>
      </c>
      <c r="B56" s="2" t="n">
        <v>0.05</v>
      </c>
    </row>
    <row r="57" customFormat="false" ht="13.8" hidden="false" customHeight="false" outlineLevel="0" collapsed="false">
      <c r="A57" s="5" t="s">
        <v>57</v>
      </c>
      <c r="B57" s="2" t="n">
        <v>0.1</v>
      </c>
    </row>
    <row r="58" customFormat="false" ht="13.8" hidden="false" customHeight="false" outlineLevel="0" collapsed="false">
      <c r="A58" s="5" t="s">
        <v>58</v>
      </c>
      <c r="B58" s="2" t="n">
        <v>0.1</v>
      </c>
    </row>
    <row r="59" customFormat="false" ht="13.8" hidden="false" customHeight="false" outlineLevel="0" collapsed="false">
      <c r="A59" s="5" t="s">
        <v>59</v>
      </c>
      <c r="B59" s="2" t="n">
        <v>0.1</v>
      </c>
    </row>
    <row r="60" customFormat="false" ht="13.8" hidden="false" customHeight="false" outlineLevel="0" collapsed="false">
      <c r="A60" s="5" t="s">
        <v>60</v>
      </c>
      <c r="B60" s="2" t="n">
        <v>0.1</v>
      </c>
    </row>
    <row r="61" customFormat="false" ht="13.8" hidden="false" customHeight="false" outlineLevel="0" collapsed="false">
      <c r="A61" s="5" t="s">
        <v>61</v>
      </c>
      <c r="B61" s="2" t="n">
        <v>0.1</v>
      </c>
    </row>
    <row r="62" customFormat="false" ht="13.8" hidden="false" customHeight="false" outlineLevel="0" collapsed="false">
      <c r="A62" s="5" t="s">
        <v>62</v>
      </c>
      <c r="B62" s="2" t="n">
        <v>0.1</v>
      </c>
    </row>
    <row r="63" customFormat="false" ht="13.8" hidden="false" customHeight="false" outlineLevel="0" collapsed="false">
      <c r="A63" s="5" t="s">
        <v>63</v>
      </c>
      <c r="B63" s="2" t="n">
        <v>0.1</v>
      </c>
    </row>
    <row r="64" customFormat="false" ht="13.8" hidden="false" customHeight="false" outlineLevel="0" collapsed="false">
      <c r="A64" s="5" t="s">
        <v>64</v>
      </c>
      <c r="B64" s="4"/>
    </row>
    <row r="65" customFormat="false" ht="13.8" hidden="false" customHeight="false" outlineLevel="0" collapsed="false">
      <c r="A65" s="5" t="s">
        <v>65</v>
      </c>
      <c r="B65" s="2" t="n">
        <v>0.1</v>
      </c>
    </row>
    <row r="66" customFormat="false" ht="13.8" hidden="false" customHeight="false" outlineLevel="0" collapsed="false">
      <c r="A66" s="5" t="s">
        <v>66</v>
      </c>
      <c r="B66" s="2" t="n">
        <v>0.1</v>
      </c>
    </row>
    <row r="67" customFormat="false" ht="13.8" hidden="false" customHeight="false" outlineLevel="0" collapsed="false">
      <c r="A67" s="5" t="s">
        <v>67</v>
      </c>
      <c r="B67" s="2" t="n">
        <v>0.05</v>
      </c>
    </row>
    <row r="68" customFormat="false" ht="13.8" hidden="false" customHeight="false" outlineLevel="0" collapsed="false">
      <c r="A68" s="5" t="s">
        <v>68</v>
      </c>
      <c r="B68" s="2" t="n">
        <v>0</v>
      </c>
    </row>
    <row r="69" customFormat="false" ht="13.8" hidden="false" customHeight="false" outlineLevel="0" collapsed="false">
      <c r="A69" s="5" t="s">
        <v>69</v>
      </c>
      <c r="B69" s="4"/>
    </row>
    <row r="70" customFormat="false" ht="13.8" hidden="false" customHeight="false" outlineLevel="0" collapsed="false">
      <c r="A70" s="5" t="s">
        <v>70</v>
      </c>
      <c r="B70" s="2" t="n">
        <v>0</v>
      </c>
    </row>
    <row r="71" customFormat="false" ht="13.8" hidden="false" customHeight="false" outlineLevel="0" collapsed="false">
      <c r="A71" s="5" t="s">
        <v>71</v>
      </c>
      <c r="B71" s="2" t="n">
        <v>0.03</v>
      </c>
    </row>
    <row r="72" customFormat="false" ht="13.8" hidden="false" customHeight="false" outlineLevel="0" collapsed="false">
      <c r="A72" s="5" t="s">
        <v>72</v>
      </c>
      <c r="B72" s="2" t="n">
        <v>0.05</v>
      </c>
    </row>
    <row r="73" customFormat="false" ht="13.8" hidden="false" customHeight="false" outlineLevel="0" collapsed="false">
      <c r="A73" s="5" t="s">
        <v>73</v>
      </c>
      <c r="B73" s="2" t="n">
        <v>0</v>
      </c>
    </row>
    <row r="74" customFormat="false" ht="13.8" hidden="false" customHeight="false" outlineLevel="0" collapsed="false">
      <c r="A74" s="5" t="s">
        <v>74</v>
      </c>
      <c r="B74" s="2" t="n">
        <v>0</v>
      </c>
    </row>
    <row r="75" customFormat="false" ht="13.8" hidden="false" customHeight="false" outlineLevel="0" collapsed="false">
      <c r="A75" s="5" t="s">
        <v>75</v>
      </c>
      <c r="B75" s="2" t="n">
        <v>0.05</v>
      </c>
    </row>
    <row r="76" customFormat="false" ht="13.8" hidden="false" customHeight="false" outlineLevel="0" collapsed="false">
      <c r="A76" s="5" t="s">
        <v>76</v>
      </c>
      <c r="B76" s="2" t="n">
        <v>0</v>
      </c>
    </row>
    <row r="77" customFormat="false" ht="13.8" hidden="false" customHeight="false" outlineLevel="0" collapsed="false">
      <c r="A77" s="5" t="s">
        <v>77</v>
      </c>
      <c r="B77" s="2" t="n">
        <v>0.05</v>
      </c>
    </row>
    <row r="78" customFormat="false" ht="13.8" hidden="false" customHeight="false" outlineLevel="0" collapsed="false">
      <c r="A78" s="5" t="s">
        <v>78</v>
      </c>
      <c r="B78" s="2" t="n">
        <v>0</v>
      </c>
    </row>
    <row r="79" customFormat="false" ht="13.8" hidden="false" customHeight="false" outlineLevel="0" collapsed="false">
      <c r="A79" s="5" t="s">
        <v>79</v>
      </c>
      <c r="B79" s="2" t="n">
        <v>0.05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&amp;C&amp;Kffffff&amp;A</oddHeader>
    <oddFooter>&amp;C&amp;KffffffPage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77" activeCellId="0" sqref="B7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93"/>
    <col collapsed="false" customWidth="true" hidden="false" outlineLevel="0" max="2" min="2" style="1" width="15.02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s">
        <v>2</v>
      </c>
      <c r="B2" s="4"/>
    </row>
    <row r="3" customFormat="false" ht="13.8" hidden="false" customHeight="false" outlineLevel="0" collapsed="false">
      <c r="A3" s="5" t="s">
        <v>3</v>
      </c>
      <c r="B3" s="2" t="n">
        <v>0.03</v>
      </c>
    </row>
    <row r="4" customFormat="false" ht="13.8" hidden="false" customHeight="false" outlineLevel="0" collapsed="false">
      <c r="A4" s="5" t="s">
        <v>4</v>
      </c>
      <c r="B4" s="4"/>
    </row>
    <row r="5" customFormat="false" ht="13.8" hidden="false" customHeight="false" outlineLevel="0" collapsed="false">
      <c r="A5" s="5" t="s">
        <v>5</v>
      </c>
      <c r="B5" s="2" t="n">
        <v>0</v>
      </c>
    </row>
    <row r="6" customFormat="false" ht="13.8" hidden="false" customHeight="false" outlineLevel="0" collapsed="false">
      <c r="A6" s="5" t="s">
        <v>6</v>
      </c>
      <c r="B6" s="13" t="n">
        <v>0.1</v>
      </c>
    </row>
    <row r="7" customFormat="false" ht="13.8" hidden="false" customHeight="false" outlineLevel="0" collapsed="false">
      <c r="A7" s="5" t="s">
        <v>7</v>
      </c>
      <c r="B7" s="2" t="n">
        <v>0.1</v>
      </c>
    </row>
    <row r="8" customFormat="false" ht="13.8" hidden="false" customHeight="false" outlineLevel="0" collapsed="false">
      <c r="A8" s="5" t="s">
        <v>8</v>
      </c>
      <c r="B8" s="2" t="n">
        <v>0</v>
      </c>
    </row>
    <row r="9" customFormat="false" ht="13.8" hidden="false" customHeight="false" outlineLevel="0" collapsed="false">
      <c r="A9" s="5" t="s">
        <v>9</v>
      </c>
      <c r="B9" s="2" t="n">
        <v>0</v>
      </c>
    </row>
    <row r="10" customFormat="false" ht="13.8" hidden="false" customHeight="false" outlineLevel="0" collapsed="false">
      <c r="A10" s="5" t="s">
        <v>10</v>
      </c>
      <c r="B10" s="2" t="n">
        <v>0.03</v>
      </c>
    </row>
    <row r="11" customFormat="false" ht="13.8" hidden="false" customHeight="false" outlineLevel="0" collapsed="false">
      <c r="A11" s="5" t="s">
        <v>11</v>
      </c>
      <c r="B11" s="2" t="n">
        <v>0</v>
      </c>
    </row>
    <row r="12" customFormat="false" ht="13.8" hidden="false" customHeight="false" outlineLevel="0" collapsed="false">
      <c r="A12" s="5" t="s">
        <v>12</v>
      </c>
      <c r="B12" s="2" t="n">
        <v>0</v>
      </c>
    </row>
    <row r="13" customFormat="false" ht="13.8" hidden="false" customHeight="false" outlineLevel="0" collapsed="false">
      <c r="A13" s="5" t="s">
        <v>13</v>
      </c>
      <c r="B13" s="2" t="n">
        <v>0</v>
      </c>
    </row>
    <row r="14" customFormat="false" ht="13.8" hidden="false" customHeight="false" outlineLevel="0" collapsed="false">
      <c r="A14" s="5" t="s">
        <v>14</v>
      </c>
      <c r="B14" s="4"/>
    </row>
    <row r="15" customFormat="false" ht="13.8" hidden="false" customHeight="false" outlineLevel="0" collapsed="false">
      <c r="A15" s="5" t="s">
        <v>15</v>
      </c>
      <c r="B15" s="2" t="n">
        <v>0.03</v>
      </c>
    </row>
    <row r="16" customFormat="false" ht="13.8" hidden="false" customHeight="false" outlineLevel="0" collapsed="false">
      <c r="A16" s="5" t="s">
        <v>16</v>
      </c>
      <c r="B16" s="2" t="n">
        <v>0</v>
      </c>
    </row>
    <row r="17" customFormat="false" ht="13.8" hidden="false" customHeight="false" outlineLevel="0" collapsed="false">
      <c r="A17" s="5" t="s">
        <v>17</v>
      </c>
      <c r="B17" s="2" t="n">
        <v>0.1</v>
      </c>
    </row>
    <row r="18" customFormat="false" ht="13.8" hidden="false" customHeight="false" outlineLevel="0" collapsed="false">
      <c r="A18" s="5" t="s">
        <v>18</v>
      </c>
      <c r="B18" s="2" t="n">
        <v>0.1</v>
      </c>
    </row>
    <row r="19" customFormat="false" ht="13.8" hidden="false" customHeight="false" outlineLevel="0" collapsed="false">
      <c r="A19" s="5" t="s">
        <v>19</v>
      </c>
      <c r="B19" s="2" t="n">
        <v>0</v>
      </c>
    </row>
    <row r="20" customFormat="false" ht="13.8" hidden="false" customHeight="false" outlineLevel="0" collapsed="false">
      <c r="A20" s="5" t="s">
        <v>20</v>
      </c>
      <c r="B20" s="2" t="n">
        <v>0.02</v>
      </c>
    </row>
    <row r="21" customFormat="false" ht="13.8" hidden="false" customHeight="false" outlineLevel="0" collapsed="false">
      <c r="A21" s="5" t="s">
        <v>21</v>
      </c>
      <c r="B21" s="2" t="n">
        <v>0.07</v>
      </c>
    </row>
    <row r="22" customFormat="false" ht="13.8" hidden="false" customHeight="false" outlineLevel="0" collapsed="false">
      <c r="A22" s="5" t="s">
        <v>22</v>
      </c>
      <c r="B22" s="2" t="n">
        <v>0.1</v>
      </c>
    </row>
    <row r="23" customFormat="false" ht="13.8" hidden="false" customHeight="false" outlineLevel="0" collapsed="false">
      <c r="A23" s="5" t="s">
        <v>23</v>
      </c>
      <c r="B23" s="2" t="n">
        <v>0</v>
      </c>
    </row>
    <row r="24" customFormat="false" ht="13.8" hidden="false" customHeight="false" outlineLevel="0" collapsed="false">
      <c r="A24" s="5" t="s">
        <v>24</v>
      </c>
      <c r="B24" s="2" t="n">
        <v>0.01</v>
      </c>
    </row>
    <row r="25" customFormat="false" ht="13.8" hidden="false" customHeight="false" outlineLevel="0" collapsed="false">
      <c r="A25" s="5" t="s">
        <v>25</v>
      </c>
      <c r="B25" s="2" t="n">
        <v>0</v>
      </c>
    </row>
    <row r="26" customFormat="false" ht="13.8" hidden="false" customHeight="false" outlineLevel="0" collapsed="false">
      <c r="A26" s="5" t="s">
        <v>26</v>
      </c>
      <c r="B26" s="4"/>
    </row>
    <row r="27" customFormat="false" ht="13.8" hidden="false" customHeight="false" outlineLevel="0" collapsed="false">
      <c r="A27" s="5" t="s">
        <v>27</v>
      </c>
      <c r="B27" s="2" t="n">
        <v>0.12</v>
      </c>
    </row>
    <row r="28" customFormat="false" ht="13.8" hidden="false" customHeight="false" outlineLevel="0" collapsed="false">
      <c r="A28" s="5" t="s">
        <v>28</v>
      </c>
      <c r="B28" s="2" t="n">
        <v>0.04</v>
      </c>
    </row>
    <row r="29" customFormat="false" ht="13.8" hidden="false" customHeight="false" outlineLevel="0" collapsed="false">
      <c r="A29" s="5" t="s">
        <v>29</v>
      </c>
      <c r="B29" s="2" t="n">
        <v>0</v>
      </c>
    </row>
    <row r="30" customFormat="false" ht="13.8" hidden="false" customHeight="false" outlineLevel="0" collapsed="false">
      <c r="A30" s="5" t="s">
        <v>30</v>
      </c>
      <c r="B30" s="2" t="n">
        <v>0</v>
      </c>
    </row>
    <row r="31" customFormat="false" ht="13.8" hidden="false" customHeight="false" outlineLevel="0" collapsed="false">
      <c r="A31" s="5" t="s">
        <v>31</v>
      </c>
      <c r="B31" s="2" t="n">
        <v>0.1</v>
      </c>
    </row>
    <row r="32" customFormat="false" ht="13.8" hidden="false" customHeight="false" outlineLevel="0" collapsed="false">
      <c r="A32" s="5" t="s">
        <v>32</v>
      </c>
      <c r="B32" s="2" t="n">
        <v>0</v>
      </c>
    </row>
    <row r="33" customFormat="false" ht="13.8" hidden="false" customHeight="false" outlineLevel="0" collapsed="false">
      <c r="A33" s="5" t="s">
        <v>33</v>
      </c>
      <c r="B33" s="2" t="n">
        <v>0</v>
      </c>
    </row>
    <row r="34" customFormat="false" ht="13.8" hidden="false" customHeight="false" outlineLevel="0" collapsed="false">
      <c r="A34" s="5" t="s">
        <v>34</v>
      </c>
      <c r="B34" s="2" t="n">
        <v>0</v>
      </c>
    </row>
    <row r="35" customFormat="false" ht="13.8" hidden="false" customHeight="false" outlineLevel="0" collapsed="false">
      <c r="A35" s="5" t="s">
        <v>35</v>
      </c>
      <c r="B35" s="4"/>
    </row>
    <row r="36" customFormat="false" ht="13.8" hidden="false" customHeight="false" outlineLevel="0" collapsed="false">
      <c r="A36" s="5" t="s">
        <v>36</v>
      </c>
      <c r="B36" s="2" t="n">
        <v>0</v>
      </c>
    </row>
    <row r="37" customFormat="false" ht="13.8" hidden="false" customHeight="false" outlineLevel="0" collapsed="false">
      <c r="A37" s="5" t="s">
        <v>37</v>
      </c>
      <c r="B37" s="2" t="n">
        <v>0.11</v>
      </c>
    </row>
    <row r="38" customFormat="false" ht="13.8" hidden="false" customHeight="false" outlineLevel="0" collapsed="false">
      <c r="A38" s="5" t="s">
        <v>38</v>
      </c>
      <c r="B38" s="2" t="n">
        <v>0.1</v>
      </c>
    </row>
    <row r="39" customFormat="false" ht="13.8" hidden="false" customHeight="false" outlineLevel="0" collapsed="false">
      <c r="A39" s="5" t="s">
        <v>39</v>
      </c>
      <c r="B39" s="2" t="n">
        <v>0.02</v>
      </c>
    </row>
    <row r="40" customFormat="false" ht="13.8" hidden="false" customHeight="false" outlineLevel="0" collapsed="false">
      <c r="A40" s="5" t="s">
        <v>40</v>
      </c>
      <c r="B40" s="2" t="n">
        <v>0.08</v>
      </c>
    </row>
    <row r="41" customFormat="false" ht="13.8" hidden="false" customHeight="false" outlineLevel="0" collapsed="false">
      <c r="A41" s="5" t="s">
        <v>41</v>
      </c>
      <c r="B41" s="2" t="n">
        <v>0.2</v>
      </c>
    </row>
    <row r="42" customFormat="false" ht="13.8" hidden="false" customHeight="false" outlineLevel="0" collapsed="false">
      <c r="A42" s="5" t="s">
        <v>42</v>
      </c>
      <c r="B42" s="2" t="n">
        <v>0.03</v>
      </c>
    </row>
    <row r="43" customFormat="false" ht="13.8" hidden="false" customHeight="false" outlineLevel="0" collapsed="false">
      <c r="A43" s="5" t="s">
        <v>43</v>
      </c>
      <c r="B43" s="2" t="n">
        <v>0.1</v>
      </c>
    </row>
    <row r="44" customFormat="false" ht="13.8" hidden="false" customHeight="false" outlineLevel="0" collapsed="false">
      <c r="A44" s="5" t="s">
        <v>44</v>
      </c>
      <c r="B44" s="2" t="n">
        <v>0.1</v>
      </c>
    </row>
    <row r="45" customFormat="false" ht="13.8" hidden="false" customHeight="false" outlineLevel="0" collapsed="false">
      <c r="A45" s="5" t="s">
        <v>45</v>
      </c>
      <c r="B45" s="2" t="n">
        <v>0.05</v>
      </c>
    </row>
    <row r="46" customFormat="false" ht="13.8" hidden="false" customHeight="false" outlineLevel="0" collapsed="false">
      <c r="A46" s="5" t="s">
        <v>46</v>
      </c>
      <c r="B46" s="2" t="n">
        <v>0</v>
      </c>
    </row>
    <row r="47" customFormat="false" ht="13.8" hidden="false" customHeight="false" outlineLevel="0" collapsed="false">
      <c r="A47" s="5" t="s">
        <v>47</v>
      </c>
      <c r="B47" s="2" t="n">
        <v>0.1</v>
      </c>
    </row>
    <row r="48" customFormat="false" ht="13.8" hidden="false" customHeight="false" outlineLevel="0" collapsed="false">
      <c r="A48" s="5" t="s">
        <v>48</v>
      </c>
      <c r="B48" s="2" t="n">
        <v>0</v>
      </c>
    </row>
    <row r="49" customFormat="false" ht="13.8" hidden="false" customHeight="false" outlineLevel="0" collapsed="false">
      <c r="A49" s="5" t="s">
        <v>49</v>
      </c>
      <c r="B49" s="2" t="n">
        <v>0.05</v>
      </c>
    </row>
    <row r="50" customFormat="false" ht="13.8" hidden="false" customHeight="false" outlineLevel="0" collapsed="false">
      <c r="A50" s="5" t="s">
        <v>50</v>
      </c>
      <c r="B50" s="2" t="n">
        <v>0.2</v>
      </c>
    </row>
    <row r="51" customFormat="false" ht="13.8" hidden="false" customHeight="false" outlineLevel="0" collapsed="false">
      <c r="A51" s="5" t="s">
        <v>51</v>
      </c>
      <c r="B51" s="2" t="n">
        <v>0</v>
      </c>
    </row>
    <row r="52" customFormat="false" ht="13.8" hidden="false" customHeight="false" outlineLevel="0" collapsed="false">
      <c r="A52" s="5" t="s">
        <v>52</v>
      </c>
      <c r="B52" s="2" t="n">
        <v>0</v>
      </c>
    </row>
    <row r="53" customFormat="false" ht="13.8" hidden="false" customHeight="false" outlineLevel="0" collapsed="false">
      <c r="A53" s="5" t="s">
        <v>53</v>
      </c>
      <c r="B53" s="2" t="n">
        <v>0</v>
      </c>
    </row>
    <row r="54" customFormat="false" ht="13.8" hidden="false" customHeight="false" outlineLevel="0" collapsed="false">
      <c r="A54" s="5" t="s">
        <v>54</v>
      </c>
      <c r="B54" s="2" t="n">
        <v>0.05</v>
      </c>
    </row>
    <row r="55" customFormat="false" ht="13.8" hidden="false" customHeight="false" outlineLevel="0" collapsed="false">
      <c r="A55" s="5" t="s">
        <v>55</v>
      </c>
      <c r="B55" s="2" t="n">
        <v>0.07</v>
      </c>
    </row>
    <row r="56" customFormat="false" ht="13.8" hidden="false" customHeight="false" outlineLevel="0" collapsed="false">
      <c r="A56" s="5" t="s">
        <v>56</v>
      </c>
      <c r="B56" s="2" t="n">
        <v>0</v>
      </c>
    </row>
    <row r="57" customFormat="false" ht="13.8" hidden="false" customHeight="false" outlineLevel="0" collapsed="false">
      <c r="A57" s="5" t="s">
        <v>57</v>
      </c>
      <c r="B57" s="2" t="n">
        <v>0.2</v>
      </c>
    </row>
    <row r="58" customFormat="false" ht="13.8" hidden="false" customHeight="false" outlineLevel="0" collapsed="false">
      <c r="A58" s="5" t="s">
        <v>58</v>
      </c>
      <c r="B58" s="2" t="n">
        <v>0.1</v>
      </c>
    </row>
    <row r="59" customFormat="false" ht="13.8" hidden="false" customHeight="false" outlineLevel="0" collapsed="false">
      <c r="A59" s="5" t="s">
        <v>59</v>
      </c>
      <c r="B59" s="2" t="n">
        <v>0.1</v>
      </c>
    </row>
    <row r="60" customFormat="false" ht="13.8" hidden="false" customHeight="false" outlineLevel="0" collapsed="false">
      <c r="A60" s="5" t="s">
        <v>60</v>
      </c>
      <c r="B60" s="2" t="n">
        <v>0.1</v>
      </c>
    </row>
    <row r="61" customFormat="false" ht="13.8" hidden="false" customHeight="false" outlineLevel="0" collapsed="false">
      <c r="A61" s="5" t="s">
        <v>61</v>
      </c>
      <c r="B61" s="2" t="n">
        <v>0.1</v>
      </c>
    </row>
    <row r="62" customFormat="false" ht="13.8" hidden="false" customHeight="false" outlineLevel="0" collapsed="false">
      <c r="A62" s="5" t="s">
        <v>62</v>
      </c>
      <c r="B62" s="2" t="n">
        <v>0.1</v>
      </c>
    </row>
    <row r="63" customFormat="false" ht="13.8" hidden="false" customHeight="false" outlineLevel="0" collapsed="false">
      <c r="A63" s="5" t="s">
        <v>63</v>
      </c>
      <c r="B63" s="2" t="n">
        <v>0</v>
      </c>
    </row>
    <row r="64" customFormat="false" ht="13.8" hidden="false" customHeight="false" outlineLevel="0" collapsed="false">
      <c r="A64" s="5" t="s">
        <v>64</v>
      </c>
      <c r="B64" s="4"/>
    </row>
    <row r="65" customFormat="false" ht="13.8" hidden="false" customHeight="false" outlineLevel="0" collapsed="false">
      <c r="A65" s="5" t="s">
        <v>65</v>
      </c>
      <c r="B65" s="2" t="n">
        <v>0</v>
      </c>
    </row>
    <row r="66" customFormat="false" ht="13.8" hidden="false" customHeight="false" outlineLevel="0" collapsed="false">
      <c r="A66" s="5" t="s">
        <v>66</v>
      </c>
      <c r="B66" s="2" t="n">
        <v>0</v>
      </c>
    </row>
    <row r="67" customFormat="false" ht="13.8" hidden="false" customHeight="false" outlineLevel="0" collapsed="false">
      <c r="A67" s="5" t="s">
        <v>67</v>
      </c>
      <c r="B67" s="2" t="n">
        <v>0.1</v>
      </c>
    </row>
    <row r="68" customFormat="false" ht="13.8" hidden="false" customHeight="false" outlineLevel="0" collapsed="false">
      <c r="A68" s="5" t="s">
        <v>68</v>
      </c>
      <c r="B68" s="2" t="n">
        <v>0</v>
      </c>
    </row>
    <row r="69" customFormat="false" ht="13.8" hidden="false" customHeight="false" outlineLevel="0" collapsed="false">
      <c r="A69" s="5" t="s">
        <v>69</v>
      </c>
      <c r="B69" s="4"/>
    </row>
    <row r="70" customFormat="false" ht="13.8" hidden="false" customHeight="false" outlineLevel="0" collapsed="false">
      <c r="A70" s="5" t="s">
        <v>70</v>
      </c>
      <c r="B70" s="2" t="n">
        <v>0</v>
      </c>
    </row>
    <row r="71" customFormat="false" ht="13.8" hidden="false" customHeight="false" outlineLevel="0" collapsed="false">
      <c r="A71" s="5" t="s">
        <v>71</v>
      </c>
      <c r="B71" s="2" t="n">
        <v>0</v>
      </c>
    </row>
    <row r="72" customFormat="false" ht="13.8" hidden="false" customHeight="false" outlineLevel="0" collapsed="false">
      <c r="A72" s="5" t="s">
        <v>72</v>
      </c>
      <c r="B72" s="2" t="n">
        <v>0</v>
      </c>
    </row>
    <row r="73" customFormat="false" ht="13.8" hidden="false" customHeight="false" outlineLevel="0" collapsed="false">
      <c r="A73" s="5" t="s">
        <v>73</v>
      </c>
      <c r="B73" s="2" t="n">
        <v>0.1</v>
      </c>
    </row>
    <row r="74" customFormat="false" ht="13.8" hidden="false" customHeight="false" outlineLevel="0" collapsed="false">
      <c r="A74" s="5" t="s">
        <v>74</v>
      </c>
      <c r="B74" s="2" t="n">
        <v>0</v>
      </c>
    </row>
    <row r="75" customFormat="false" ht="13.8" hidden="false" customHeight="false" outlineLevel="0" collapsed="false">
      <c r="A75" s="5" t="s">
        <v>75</v>
      </c>
      <c r="B75" s="2" t="n">
        <v>0.06</v>
      </c>
    </row>
    <row r="76" customFormat="false" ht="13.8" hidden="false" customHeight="false" outlineLevel="0" collapsed="false">
      <c r="A76" s="5" t="s">
        <v>76</v>
      </c>
      <c r="B76" s="2" t="n">
        <v>0.1</v>
      </c>
    </row>
    <row r="77" customFormat="false" ht="13.8" hidden="false" customHeight="false" outlineLevel="0" collapsed="false">
      <c r="A77" s="5" t="s">
        <v>77</v>
      </c>
      <c r="B77" s="2" t="n">
        <v>0.1</v>
      </c>
    </row>
    <row r="78" customFormat="false" ht="13.8" hidden="false" customHeight="false" outlineLevel="0" collapsed="false">
      <c r="A78" s="5" t="s">
        <v>78</v>
      </c>
      <c r="B78" s="2" t="n">
        <v>0</v>
      </c>
    </row>
    <row r="79" customFormat="false" ht="13.8" hidden="false" customHeight="false" outlineLevel="0" collapsed="false">
      <c r="A79" s="5" t="s">
        <v>79</v>
      </c>
      <c r="B79" s="2" t="n">
        <v>0.05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2026-06-23T15:13:03Z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